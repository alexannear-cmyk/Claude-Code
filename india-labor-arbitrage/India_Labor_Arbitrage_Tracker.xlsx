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Setup" sheetId="2" state="visible" r:id="rId2"/>
    <sheet name="Targets" sheetId="3" state="visible" r:id="rId3"/>
    <sheet name="Org_1" sheetId="4" state="visible" r:id="rId4"/>
    <sheet name="Org_2" sheetId="5" state="visible" r:id="rId5"/>
    <sheet name="Org_3" sheetId="6" state="visible" r:id="rId6"/>
    <sheet name="Org_4" sheetId="7" state="visible" r:id="rId7"/>
    <sheet name="Org_5" sheetId="8" state="visible" r:id="rId8"/>
    <sheet name="Org_6" sheetId="9" state="visible" r:id="rId9"/>
    <sheet name="Org_7" sheetId="10" state="visible" r:id="rId10"/>
    <sheet name="Org_8" sheetId="11" state="visible" r:id="rId11"/>
    <sheet name="Consolidation" sheetId="12" state="visible" r:id="rId12"/>
    <sheet name="Dashboard" sheetId="13" state="visible" r:id="rId13"/>
    <sheet name="Guiding Principles" sheetId="14" state="visible" r:id="rId14"/>
  </sheets>
  <definedNames/>
  <calcPr calcId="124519" fullCalcOnLoad="1"/>
</workbook>
</file>

<file path=xl/styles.xml><?xml version="1.0" encoding="utf-8"?>
<styleSheet xmlns="http://schemas.openxmlformats.org/spreadsheetml/2006/main">
  <numFmts count="2">
    <numFmt numFmtId="164" formatCode="yyyy-mm-dd h:mm:ss"/>
    <numFmt numFmtId="165" formatCode="#,##0;[Red](#,##0)"/>
  </numFmts>
  <fonts count="7">
    <font>
      <name val="Calibri"/>
      <family val="2"/>
      <color theme="1"/>
      <sz val="11"/>
      <scheme val="minor"/>
    </font>
    <font>
      <b val="1"/>
      <color rgb="001F3864"/>
      <sz val="14"/>
    </font>
    <font>
      <b val="1"/>
    </font>
    <font>
      <i val="1"/>
      <color rgb="00808080"/>
    </font>
    <font>
      <b val="1"/>
      <color rgb="00C00000"/>
    </font>
    <font>
      <b val="1"/>
      <color rgb="00FFFFFF"/>
    </font>
    <font>
      <sz val="11"/>
    </font>
  </fonts>
  <fills count="8">
    <fill>
      <patternFill/>
    </fill>
    <fill>
      <patternFill patternType="gray125"/>
    </fill>
    <fill>
      <patternFill patternType="solid">
        <fgColor rgb="00FFF2CC"/>
      </patternFill>
    </fill>
    <fill>
      <patternFill patternType="solid">
        <fgColor rgb="00D6DCE5"/>
      </patternFill>
    </fill>
    <fill>
      <patternFill patternType="solid">
        <fgColor rgb="001F3864"/>
      </patternFill>
    </fill>
    <fill>
      <patternFill patternType="solid">
        <fgColor rgb="00F2F2F2"/>
      </patternFill>
    </fill>
    <fill>
      <patternFill patternType="solid">
        <fgColor rgb="00E2EFDA"/>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pivotButton="0" quotePrefix="0" xfId="0"/>
    <xf numFmtId="0" fontId="2" fillId="2" borderId="1" pivotButton="0" quotePrefix="0" xfId="0"/>
    <xf numFmtId="0" fontId="4" fillId="0" borderId="0" pivotButton="0" quotePrefix="0" xfId="0"/>
    <xf numFmtId="0" fontId="2" fillId="0" borderId="0" pivotButton="0" quotePrefix="0" xfId="0"/>
    <xf numFmtId="0" fontId="2" fillId="3" borderId="0" pivotButton="0" quotePrefix="0" xfId="0"/>
    <xf numFmtId="17" fontId="2" fillId="3" borderId="1" applyAlignment="1" pivotButton="0" quotePrefix="0" xfId="0">
      <alignment horizontal="center"/>
    </xf>
    <xf numFmtId="0" fontId="5" fillId="4" borderId="1" pivotButton="0" quotePrefix="0" xfId="0"/>
    <xf numFmtId="0" fontId="0" fillId="4" borderId="1" pivotButton="0" quotePrefix="0" xfId="0"/>
    <xf numFmtId="3" fontId="0" fillId="2" borderId="1" pivotButton="0" quotePrefix="0" xfId="0"/>
    <xf numFmtId="165" fontId="0" fillId="2" borderId="1" pivotButton="0" quotePrefix="0" xfId="0"/>
    <xf numFmtId="165" fontId="2" fillId="0" borderId="1" pivotButton="0" quotePrefix="0" xfId="0"/>
    <xf numFmtId="0" fontId="3" fillId="4" borderId="1" pivotButton="0" quotePrefix="0" xfId="0"/>
    <xf numFmtId="3" fontId="0" fillId="5" borderId="1" pivotButton="0" quotePrefix="0" xfId="0"/>
    <xf numFmtId="3" fontId="0" fillId="6" borderId="1" pivotButton="0" quotePrefix="0" xfId="0"/>
    <xf numFmtId="3" fontId="0" fillId="0" borderId="1" pivotButton="0" quotePrefix="0" xfId="0"/>
    <xf numFmtId="165" fontId="0" fillId="6" borderId="1" pivotButton="0" quotePrefix="0" xfId="0"/>
    <xf numFmtId="9" fontId="0" fillId="7" borderId="1" pivotButton="0" quotePrefix="0" xfId="0"/>
    <xf numFmtId="165" fontId="0" fillId="5" borderId="1" pivotButton="0" quotePrefix="0" xfId="0"/>
    <xf numFmtId="165" fontId="0" fillId="7" borderId="1" pivotButton="0" quotePrefix="0" xfId="0"/>
    <xf numFmtId="165" fontId="0" fillId="0" borderId="1" pivotButton="0" quotePrefix="0" xfId="0"/>
    <xf numFmtId="3" fontId="0" fillId="7" borderId="1" pivotButton="0" quotePrefix="0" xfId="0"/>
    <xf numFmtId="0" fontId="0" fillId="7" borderId="1" pivotButton="0" quotePrefix="0" xfId="0"/>
    <xf numFmtId="9" fontId="0" fillId="0" borderId="1" pivotButton="0" quotePrefix="0" xfId="0"/>
    <xf numFmtId="3" fontId="2" fillId="0" borderId="1" pivotButton="0" quotePrefix="0" xfId="0"/>
    <xf numFmtId="0" fontId="2" fillId="3" borderId="1" pivotButton="0" quotePrefix="0" xfId="0"/>
    <xf numFmtId="0" fontId="0" fillId="0" borderId="1" applyAlignment="1" pivotButton="0" quotePrefix="0" xfId="0">
      <alignment horizontal="center"/>
    </xf>
    <xf numFmtId="0" fontId="6" fillId="0" borderId="0" applyAlignment="1" pivotButton="0" quotePrefix="0" xfId="0">
      <alignment vertical="top" wrapText="1"/>
    </xf>
  </cellXfs>
  <cellStyles count="1">
    <cellStyle name="Normal" xfId="0" builtinId="0" hidden="0"/>
  </cellStyles>
  <dxfs count="3">
    <dxf>
      <fill>
        <patternFill patternType="solid">
          <fgColor rgb="00C6EFCE"/>
        </patternFill>
      </fill>
    </dxf>
    <dxf>
      <fill>
        <patternFill patternType="solid">
          <fgColor rgb="00FFE699"/>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20" customWidth="1" min="1" max="1"/>
  </cols>
  <sheetData>
    <row r="1">
      <c r="A1" s="1" t="inlineStr">
        <is>
          <t>India Labor Arbitrage Program — Monthly Consolidation Workbook</t>
        </is>
      </c>
    </row>
    <row r="2">
      <c r="A2" s="2" t="inlineStr"/>
    </row>
    <row r="3">
      <c r="A3" s="3" t="inlineStr">
        <is>
          <t>PURPOSE</t>
        </is>
      </c>
    </row>
    <row r="4">
      <c r="A4" s="2" t="inlineStr">
        <is>
          <t>Single consolidation file for the India GCC ramp-up program. Each org finance partner updates their own Org tab monthly; the Consolidation and Dashboard tabs roll up automatically.</t>
        </is>
      </c>
    </row>
    <row r="5">
      <c r="A5" s="2" t="inlineStr"/>
    </row>
    <row r="6">
      <c r="A6" s="3" t="inlineStr">
        <is>
          <t>HOW TO SET UP (owner, one time)</t>
        </is>
      </c>
    </row>
    <row r="7">
      <c r="A7" s="2" t="inlineStr">
        <is>
          <t>1. Go to the Setup tab and replace 'Org 1 — REPLACE' etc. with the real organization names. Every tab picks the names up automatically.</t>
        </is>
      </c>
    </row>
    <row r="8">
      <c r="A8" s="2" t="inlineStr">
        <is>
          <t>2. Optionally rename the Org_1..Org_8 sheet tabs to match — Excel updates all formulas automatically when a sheet is renamed.</t>
        </is>
      </c>
    </row>
    <row r="9">
      <c r="A9" s="2" t="inlineStr">
        <is>
          <t>3. Replace the ILLUSTRATIVE placeholder numbers on the Targets tab with the committed monthly baseline you distributed to each org (yellow cells).</t>
        </is>
      </c>
    </row>
    <row r="10">
      <c r="A10" s="2" t="inlineStr">
        <is>
          <t>4. Org_1 contains EXAMPLE actuals for Jan–Mar 2026 to demonstrate the mechanics — clear them before first use.</t>
        </is>
      </c>
    </row>
    <row r="11">
      <c r="A11" s="2" t="inlineStr"/>
    </row>
    <row r="12">
      <c r="A12" s="3" t="inlineStr">
        <is>
          <t>HOW TO SUBMIT (org finance partners, monthly)</t>
        </is>
      </c>
    </row>
    <row r="13">
      <c r="A13" s="2" t="inlineStr">
        <is>
          <t>1. Open your org's tab. Enter values in BLUE cells only for the month just closed.</t>
        </is>
      </c>
    </row>
    <row r="14">
      <c r="A14" s="2" t="inlineStr">
        <is>
          <t>2. GREEN cells are filled centrally from PlanIt/HR — do not overwrite unless asked.</t>
        </is>
      </c>
    </row>
    <row r="15">
      <c r="A15" s="2" t="inlineStr">
        <is>
          <t>3. GREY cells are your committed targets, linked from the Targets tab — never edit on this tab.</t>
        </is>
      </c>
    </row>
    <row r="16">
      <c r="A16" s="2" t="inlineStr">
        <is>
          <t>4. Set the month's RAG status, answer the leakage attestation, and add commentary if any headline metric misses target materially. Enter your name in the 'Attested by' row.</t>
        </is>
      </c>
    </row>
    <row r="17">
      <c r="A17" s="2" t="inlineStr">
        <is>
          <t>5. Submissions are due workday 3; consolidation is published workday 5. (Placeholder — confirm.)</t>
        </is>
      </c>
    </row>
    <row r="18">
      <c r="A18" s="2" t="inlineStr"/>
    </row>
    <row r="19">
      <c r="A19" s="3" t="inlineStr">
        <is>
          <t>RULES</t>
        </is>
      </c>
    </row>
    <row r="20">
      <c r="A20" s="2" t="inlineStr">
        <is>
          <t>What counts as labor arbitrage savings (and what doesn't) is defined on the Guiding Principles tab. Read it before your first submission. When in doubt, ask central program finance BEFORE reporting a number.</t>
        </is>
      </c>
    </row>
    <row r="21">
      <c r="A21" s="2" t="inlineStr"/>
    </row>
    <row r="22">
      <c r="A22" s="3" t="inlineStr">
        <is>
          <t>DO NOT</t>
        </is>
      </c>
    </row>
    <row r="23">
      <c r="A23" s="2" t="inlineStr">
        <is>
          <t>• Insert new sheets between Org_1 and Org_8 (the consolidation ranges span those tabs).</t>
        </is>
      </c>
    </row>
    <row r="24">
      <c r="A24" s="2" t="inlineStr">
        <is>
          <t>• Add or delete rows/columns on Org tabs — the consolidation reads fixed positions.</t>
        </is>
      </c>
    </row>
    <row r="25">
      <c r="A25" s="2" t="inlineStr">
        <is>
          <t>• Net one-time transition costs into your reduction numbers — report them on their own row.</t>
        </is>
      </c>
    </row>
    <row r="26">
      <c r="A26" s="2" t="inlineStr"/>
    </row>
    <row r="27">
      <c r="A27" s="3" t="inlineStr">
        <is>
          <t>COLOR KEY</t>
        </is>
      </c>
    </row>
    <row r="28">
      <c r="A28" s="2" t="inlineStr">
        <is>
          <t>BLUE = org enters data   |   GREEN = central fill (PlanIt/HR)   |   GREY = linked target (do not edit)   |   YELLOW = placeholder to replace during setup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40" customWidth="1" min="2" max="2"/>
  </cols>
  <sheetData>
    <row r="1">
      <c r="A1" s="4" t="inlineStr">
        <is>
          <t>Setup — organization names and lists</t>
        </is>
      </c>
    </row>
    <row r="3">
      <c r="A3" s="5" t="inlineStr">
        <is>
          <t>REPLACE the names below with your 8 organizations. All tabs reference these cells.</t>
        </is>
      </c>
    </row>
    <row r="4">
      <c r="A4" t="inlineStr">
        <is>
          <t>Org tab Org_1 display name:</t>
        </is>
      </c>
      <c r="B4" s="6" t="inlineStr">
        <is>
          <t>Org 1 — REPLACE</t>
        </is>
      </c>
    </row>
    <row r="5">
      <c r="A5" t="inlineStr">
        <is>
          <t>Org tab Org_2 display name:</t>
        </is>
      </c>
      <c r="B5" s="6" t="inlineStr">
        <is>
          <t>Org 2 — REPLACE</t>
        </is>
      </c>
    </row>
    <row r="6">
      <c r="A6" t="inlineStr">
        <is>
          <t>Org tab Org_3 display name:</t>
        </is>
      </c>
      <c r="B6" s="6" t="inlineStr">
        <is>
          <t>Org 3 — REPLACE</t>
        </is>
      </c>
    </row>
    <row r="7">
      <c r="A7" t="inlineStr">
        <is>
          <t>Org tab Org_4 display name:</t>
        </is>
      </c>
      <c r="B7" s="6" t="inlineStr">
        <is>
          <t>Org 4 — REPLACE</t>
        </is>
      </c>
    </row>
    <row r="8">
      <c r="A8" t="inlineStr">
        <is>
          <t>Org tab Org_5 display name:</t>
        </is>
      </c>
      <c r="B8" s="6" t="inlineStr">
        <is>
          <t>Org 5 — REPLACE</t>
        </is>
      </c>
    </row>
    <row r="9">
      <c r="A9" t="inlineStr">
        <is>
          <t>Org tab Org_6 display name:</t>
        </is>
      </c>
      <c r="B9" s="6" t="inlineStr">
        <is>
          <t>Org 6 — REPLACE</t>
        </is>
      </c>
    </row>
    <row r="10">
      <c r="A10" t="inlineStr">
        <is>
          <t>Org tab Org_7 display name:</t>
        </is>
      </c>
      <c r="B10" s="6" t="inlineStr">
        <is>
          <t>Org 7 — REPLACE</t>
        </is>
      </c>
    </row>
    <row r="11">
      <c r="A11" t="inlineStr">
        <is>
          <t>Org tab Org_8 display name:</t>
        </is>
      </c>
      <c r="B11" s="6" t="inlineStr">
        <is>
          <t>Org 8 — REPLACE</t>
        </is>
      </c>
    </row>
    <row r="13">
      <c r="A13" s="5" t="inlineStr">
        <is>
          <t>Dropdown lists (used by data validation):</t>
        </is>
      </c>
    </row>
    <row r="14">
      <c r="A14" t="inlineStr">
        <is>
          <t>RAG:</t>
        </is>
      </c>
      <c r="B14" t="inlineStr">
        <is>
          <t>Green</t>
        </is>
      </c>
    </row>
    <row r="15">
      <c r="B15" t="inlineStr">
        <is>
          <t>Amber</t>
        </is>
      </c>
    </row>
    <row r="16">
      <c r="B16" t="inlineStr">
        <is>
          <t>Red</t>
        </is>
      </c>
    </row>
    <row r="18">
      <c r="A18" t="inlineStr">
        <is>
          <t>Yes/No:</t>
        </is>
      </c>
      <c r="B18" t="inlineStr">
        <is>
          <t>Y</t>
        </is>
      </c>
    </row>
    <row r="19">
      <c r="B19" t="inlineStr">
        <is>
          <t>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7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6" customWidth="1" min="1" max="1"/>
    <col width="20"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10.5" customWidth="1" min="35" max="35"/>
    <col width="10.5" customWidth="1" min="36" max="36"/>
    <col width="10.5" customWidth="1" min="37" max="37"/>
    <col width="10.5" customWidth="1" min="38" max="38"/>
    <col width="10.5" customWidth="1" min="39" max="39"/>
    <col width="10.5" customWidth="1" min="40" max="40"/>
    <col width="10.5" customWidth="1" min="41" max="41"/>
    <col width="10.5" customWidth="1" min="42" max="42"/>
    <col width="10.5" customWidth="1" min="43" max="43"/>
    <col width="10.5" customWidth="1" min="44" max="44"/>
    <col width="10.5" customWidth="1" min="45" max="45"/>
    <col width="10.5" customWidth="1" min="46" max="46"/>
    <col width="10.5" customWidth="1" min="47" max="47"/>
    <col width="10.5" customWidth="1" min="48" max="48"/>
    <col width="10.5" customWidth="1" min="49" max="49"/>
    <col width="10.5" customWidth="1" min="50" max="50"/>
  </cols>
  <sheetData>
    <row r="1">
      <c r="A1" s="4" t="inlineStr">
        <is>
          <t>Committed monthly baseline by organization</t>
        </is>
      </c>
    </row>
    <row r="2">
      <c r="A2" s="7" t="inlineStr">
        <is>
          <t>ILLUSTRATIVE PLACEHOLDERS — replace every yellow cell with the committed baseline distributed to the orgs. Baseline changes only via approved change request.</t>
        </is>
      </c>
    </row>
    <row r="4">
      <c r="C4" s="8" t="n">
        <v>2026</v>
      </c>
      <c r="O4" s="8" t="n">
        <v>2027</v>
      </c>
      <c r="AA4" s="8" t="n">
        <v>2028</v>
      </c>
      <c r="AM4" s="8" t="n">
        <v>2029</v>
      </c>
    </row>
    <row r="5">
      <c r="A5" s="9" t="inlineStr">
        <is>
          <t>Metric</t>
        </is>
      </c>
      <c r="B5" s="9" t="inlineStr">
        <is>
          <t>Unit / who fills</t>
        </is>
      </c>
      <c r="C5" s="10" t="n">
        <v>46023</v>
      </c>
      <c r="D5" s="10" t="n">
        <v>46054</v>
      </c>
      <c r="E5" s="10" t="n">
        <v>46082</v>
      </c>
      <c r="F5" s="10" t="n">
        <v>46113</v>
      </c>
      <c r="G5" s="10" t="n">
        <v>46143</v>
      </c>
      <c r="H5" s="10" t="n">
        <v>46174</v>
      </c>
      <c r="I5" s="10" t="n">
        <v>46204</v>
      </c>
      <c r="J5" s="10" t="n">
        <v>46235</v>
      </c>
      <c r="K5" s="10" t="n">
        <v>46266</v>
      </c>
      <c r="L5" s="10" t="n">
        <v>46296</v>
      </c>
      <c r="M5" s="10" t="n">
        <v>46327</v>
      </c>
      <c r="N5" s="10" t="n">
        <v>46357</v>
      </c>
      <c r="O5" s="10" t="n">
        <v>46388</v>
      </c>
      <c r="P5" s="10" t="n">
        <v>46419</v>
      </c>
      <c r="Q5" s="10" t="n">
        <v>46447</v>
      </c>
      <c r="R5" s="10" t="n">
        <v>46478</v>
      </c>
      <c r="S5" s="10" t="n">
        <v>46508</v>
      </c>
      <c r="T5" s="10" t="n">
        <v>46539</v>
      </c>
      <c r="U5" s="10" t="n">
        <v>46569</v>
      </c>
      <c r="V5" s="10" t="n">
        <v>46600</v>
      </c>
      <c r="W5" s="10" t="n">
        <v>46631</v>
      </c>
      <c r="X5" s="10" t="n">
        <v>46661</v>
      </c>
      <c r="Y5" s="10" t="n">
        <v>46692</v>
      </c>
      <c r="Z5" s="10" t="n">
        <v>46722</v>
      </c>
      <c r="AA5" s="10" t="n">
        <v>46753</v>
      </c>
      <c r="AB5" s="10" t="n">
        <v>46784</v>
      </c>
      <c r="AC5" s="10" t="n">
        <v>46813</v>
      </c>
      <c r="AD5" s="10" t="n">
        <v>46844</v>
      </c>
      <c r="AE5" s="10" t="n">
        <v>46874</v>
      </c>
      <c r="AF5" s="10" t="n">
        <v>46905</v>
      </c>
      <c r="AG5" s="10" t="n">
        <v>46935</v>
      </c>
      <c r="AH5" s="10" t="n">
        <v>46966</v>
      </c>
      <c r="AI5" s="10" t="n">
        <v>46997</v>
      </c>
      <c r="AJ5" s="10" t="n">
        <v>47027</v>
      </c>
      <c r="AK5" s="10" t="n">
        <v>47058</v>
      </c>
      <c r="AL5" s="10" t="n">
        <v>47088</v>
      </c>
      <c r="AM5" s="10" t="n">
        <v>47119</v>
      </c>
      <c r="AN5" s="10" t="n">
        <v>47150</v>
      </c>
      <c r="AO5" s="10" t="n">
        <v>47178</v>
      </c>
      <c r="AP5" s="10" t="n">
        <v>47209</v>
      </c>
      <c r="AQ5" s="10" t="n">
        <v>47239</v>
      </c>
      <c r="AR5" s="10" t="n">
        <v>47270</v>
      </c>
      <c r="AS5" s="10" t="n">
        <v>47300</v>
      </c>
      <c r="AT5" s="10" t="n">
        <v>47331</v>
      </c>
      <c r="AU5" s="10" t="n">
        <v>47362</v>
      </c>
      <c r="AV5" s="10" t="n">
        <v>47392</v>
      </c>
      <c r="AW5" s="10" t="n">
        <v>47423</v>
      </c>
      <c r="AX5" s="10" t="n">
        <v>47453</v>
      </c>
    </row>
    <row r="7">
      <c r="A7" s="11">
        <f>CONCATENATE("ORG: ",Setup!$B$4)</f>
        <v/>
      </c>
      <c r="B7" s="12" t="n"/>
      <c r="C7" s="12" t="n"/>
      <c r="D7" s="12" t="n"/>
      <c r="E7" s="12" t="n"/>
      <c r="F7" s="12" t="n"/>
      <c r="G7" s="12" t="n"/>
      <c r="H7" s="12" t="n"/>
      <c r="I7" s="12" t="n"/>
      <c r="J7" s="12" t="n"/>
      <c r="K7" s="12" t="n"/>
      <c r="L7" s="12" t="n"/>
      <c r="M7" s="12" t="n"/>
      <c r="N7" s="12" t="n"/>
      <c r="O7" s="12" t="n"/>
      <c r="P7" s="12" t="n"/>
      <c r="Q7" s="12" t="n"/>
      <c r="R7" s="12" t="n"/>
      <c r="S7" s="12" t="n"/>
      <c r="T7" s="12" t="n"/>
      <c r="U7" s="12" t="n"/>
      <c r="V7" s="12" t="n"/>
      <c r="W7" s="12" t="n"/>
      <c r="X7" s="12" t="n"/>
      <c r="Y7" s="12" t="n"/>
      <c r="Z7" s="12" t="n"/>
      <c r="AA7" s="12" t="n"/>
      <c r="AB7" s="12" t="n"/>
      <c r="AC7" s="12" t="n"/>
      <c r="AD7" s="12" t="n"/>
      <c r="AE7" s="12" t="n"/>
      <c r="AF7" s="12" t="n"/>
      <c r="AG7" s="12" t="n"/>
      <c r="AH7" s="12" t="n"/>
      <c r="AI7" s="12" t="n"/>
      <c r="AJ7" s="12" t="n"/>
      <c r="AK7" s="12" t="n"/>
      <c r="AL7" s="12" t="n"/>
      <c r="AM7" s="12" t="n"/>
      <c r="AN7" s="12" t="n"/>
      <c r="AO7" s="12" t="n"/>
      <c r="AP7" s="12" t="n"/>
      <c r="AQ7" s="12" t="n"/>
      <c r="AR7" s="12" t="n"/>
      <c r="AS7" s="12" t="n"/>
      <c r="AT7" s="12" t="n"/>
      <c r="AU7" s="12" t="n"/>
      <c r="AV7" s="12" t="n"/>
      <c r="AW7" s="12" t="n"/>
      <c r="AX7" s="12" t="n"/>
    </row>
    <row r="8">
      <c r="A8" t="inlineStr">
        <is>
          <t>India hires (heads)</t>
        </is>
      </c>
      <c r="C8" s="13" t="n">
        <v>9</v>
      </c>
      <c r="D8" s="13" t="n">
        <v>9</v>
      </c>
      <c r="E8" s="13" t="n">
        <v>9</v>
      </c>
      <c r="F8" s="13" t="n">
        <v>9</v>
      </c>
      <c r="G8" s="13" t="n">
        <v>9</v>
      </c>
      <c r="H8" s="13" t="n">
        <v>9</v>
      </c>
      <c r="I8" s="13" t="n">
        <v>9</v>
      </c>
      <c r="J8" s="13" t="n">
        <v>9</v>
      </c>
      <c r="K8" s="13" t="n">
        <v>9</v>
      </c>
      <c r="L8" s="13" t="n">
        <v>9</v>
      </c>
      <c r="M8" s="13" t="n">
        <v>9</v>
      </c>
      <c r="N8" s="13" t="n">
        <v>9</v>
      </c>
      <c r="O8" s="13" t="n">
        <v>15</v>
      </c>
      <c r="P8" s="13" t="n">
        <v>15</v>
      </c>
      <c r="Q8" s="13" t="n">
        <v>15</v>
      </c>
      <c r="R8" s="13" t="n">
        <v>15</v>
      </c>
      <c r="S8" s="13" t="n">
        <v>15</v>
      </c>
      <c r="T8" s="13" t="n">
        <v>15</v>
      </c>
      <c r="U8" s="13" t="n">
        <v>15</v>
      </c>
      <c r="V8" s="13" t="n">
        <v>15</v>
      </c>
      <c r="W8" s="13" t="n">
        <v>15</v>
      </c>
      <c r="X8" s="13" t="n">
        <v>15</v>
      </c>
      <c r="Y8" s="13" t="n">
        <v>15</v>
      </c>
      <c r="Z8" s="13" t="n">
        <v>15</v>
      </c>
      <c r="AA8" s="13" t="n">
        <v>0</v>
      </c>
      <c r="AB8" s="13" t="n">
        <v>0</v>
      </c>
      <c r="AC8" s="13" t="n">
        <v>0</v>
      </c>
      <c r="AD8" s="13" t="n">
        <v>0</v>
      </c>
      <c r="AE8" s="13" t="n">
        <v>0</v>
      </c>
      <c r="AF8" s="13" t="n">
        <v>0</v>
      </c>
      <c r="AG8" s="13" t="n">
        <v>0</v>
      </c>
      <c r="AH8" s="13" t="n">
        <v>0</v>
      </c>
      <c r="AI8" s="13" t="n">
        <v>0</v>
      </c>
      <c r="AJ8" s="13" t="n">
        <v>0</v>
      </c>
      <c r="AK8" s="13" t="n">
        <v>0</v>
      </c>
      <c r="AL8" s="13" t="n">
        <v>0</v>
      </c>
      <c r="AM8" s="13" t="n">
        <v>0</v>
      </c>
      <c r="AN8" s="13" t="n">
        <v>0</v>
      </c>
      <c r="AO8" s="13" t="n">
        <v>0</v>
      </c>
      <c r="AP8" s="13" t="n">
        <v>0</v>
      </c>
      <c r="AQ8" s="13" t="n">
        <v>0</v>
      </c>
      <c r="AR8" s="13" t="n">
        <v>0</v>
      </c>
      <c r="AS8" s="13" t="n">
        <v>0</v>
      </c>
      <c r="AT8" s="13" t="n">
        <v>0</v>
      </c>
      <c r="AU8" s="13" t="n">
        <v>0</v>
      </c>
      <c r="AV8" s="13" t="n">
        <v>0</v>
      </c>
      <c r="AW8" s="13" t="n">
        <v>0</v>
      </c>
      <c r="AX8" s="13" t="n">
        <v>0</v>
      </c>
    </row>
    <row r="9">
      <c r="A9" t="inlineStr">
        <is>
          <t>Reductions — Professional services ($K)</t>
        </is>
      </c>
      <c r="C9" s="14" t="n">
        <v>0</v>
      </c>
      <c r="D9" s="14" t="n">
        <v>0</v>
      </c>
      <c r="E9" s="14" t="n">
        <v>0</v>
      </c>
      <c r="F9" s="14" t="n">
        <v>0</v>
      </c>
      <c r="G9" s="14" t="n">
        <v>38</v>
      </c>
      <c r="H9" s="14" t="n">
        <v>75</v>
      </c>
      <c r="I9" s="14" t="n">
        <v>112</v>
      </c>
      <c r="J9" s="14" t="n">
        <v>150</v>
      </c>
      <c r="K9" s="14" t="n">
        <v>188</v>
      </c>
      <c r="L9" s="14" t="n">
        <v>225</v>
      </c>
      <c r="M9" s="14" t="n">
        <v>262</v>
      </c>
      <c r="N9" s="14" t="n">
        <v>300</v>
      </c>
      <c r="O9" s="14" t="n">
        <v>338</v>
      </c>
      <c r="P9" s="14" t="n">
        <v>375</v>
      </c>
      <c r="Q9" s="14" t="n">
        <v>412</v>
      </c>
      <c r="R9" s="14" t="n">
        <v>450</v>
      </c>
      <c r="S9" s="14" t="n">
        <v>488</v>
      </c>
      <c r="T9" s="14" t="n">
        <v>525</v>
      </c>
      <c r="U9" s="14" t="n">
        <v>562</v>
      </c>
      <c r="V9" s="14" t="n">
        <v>600</v>
      </c>
      <c r="W9" s="14" t="n">
        <v>638</v>
      </c>
      <c r="X9" s="14" t="n">
        <v>675</v>
      </c>
      <c r="Y9" s="14" t="n">
        <v>712</v>
      </c>
      <c r="Z9" s="14" t="n">
        <v>750</v>
      </c>
      <c r="AA9" s="14" t="n">
        <v>788</v>
      </c>
      <c r="AB9" s="14" t="n">
        <v>825</v>
      </c>
      <c r="AC9" s="14" t="n">
        <v>862</v>
      </c>
      <c r="AD9" s="14" t="n">
        <v>900</v>
      </c>
      <c r="AE9" s="14" t="n">
        <v>900</v>
      </c>
      <c r="AF9" s="14" t="n">
        <v>900</v>
      </c>
      <c r="AG9" s="14" t="n">
        <v>900</v>
      </c>
      <c r="AH9" s="14" t="n">
        <v>900</v>
      </c>
      <c r="AI9" s="14" t="n">
        <v>900</v>
      </c>
      <c r="AJ9" s="14" t="n">
        <v>900</v>
      </c>
      <c r="AK9" s="14" t="n">
        <v>900</v>
      </c>
      <c r="AL9" s="14" t="n">
        <v>900</v>
      </c>
      <c r="AM9" s="14" t="n">
        <v>900</v>
      </c>
      <c r="AN9" s="14" t="n">
        <v>900</v>
      </c>
      <c r="AO9" s="14" t="n">
        <v>900</v>
      </c>
      <c r="AP9" s="14" t="n">
        <v>900</v>
      </c>
      <c r="AQ9" s="14" t="n">
        <v>900</v>
      </c>
      <c r="AR9" s="14" t="n">
        <v>900</v>
      </c>
      <c r="AS9" s="14" t="n">
        <v>900</v>
      </c>
      <c r="AT9" s="14" t="n">
        <v>900</v>
      </c>
      <c r="AU9" s="14" t="n">
        <v>900</v>
      </c>
      <c r="AV9" s="14" t="n">
        <v>900</v>
      </c>
      <c r="AW9" s="14" t="n">
        <v>900</v>
      </c>
      <c r="AX9" s="14" t="n">
        <v>900</v>
      </c>
    </row>
    <row r="10">
      <c r="A10" t="inlineStr">
        <is>
          <t>Reductions — Offshore contractors ($K)</t>
        </is>
      </c>
      <c r="C10" s="14" t="n">
        <v>0</v>
      </c>
      <c r="D10" s="14" t="n">
        <v>0</v>
      </c>
      <c r="E10" s="14" t="n">
        <v>0</v>
      </c>
      <c r="F10" s="14" t="n">
        <v>0</v>
      </c>
      <c r="G10" s="14" t="n">
        <v>0</v>
      </c>
      <c r="H10" s="14" t="n">
        <v>0</v>
      </c>
      <c r="I10" s="14" t="n">
        <v>0</v>
      </c>
      <c r="J10" s="14" t="n">
        <v>15</v>
      </c>
      <c r="K10" s="14" t="n">
        <v>30</v>
      </c>
      <c r="L10" s="14" t="n">
        <v>45</v>
      </c>
      <c r="M10" s="14" t="n">
        <v>60</v>
      </c>
      <c r="N10" s="14" t="n">
        <v>75</v>
      </c>
      <c r="O10" s="14" t="n">
        <v>90</v>
      </c>
      <c r="P10" s="14" t="n">
        <v>105</v>
      </c>
      <c r="Q10" s="14" t="n">
        <v>120</v>
      </c>
      <c r="R10" s="14" t="n">
        <v>135</v>
      </c>
      <c r="S10" s="14" t="n">
        <v>150</v>
      </c>
      <c r="T10" s="14" t="n">
        <v>165</v>
      </c>
      <c r="U10" s="14" t="n">
        <v>180</v>
      </c>
      <c r="V10" s="14" t="n">
        <v>195</v>
      </c>
      <c r="W10" s="14" t="n">
        <v>210</v>
      </c>
      <c r="X10" s="14" t="n">
        <v>225</v>
      </c>
      <c r="Y10" s="14" t="n">
        <v>240</v>
      </c>
      <c r="Z10" s="14" t="n">
        <v>255</v>
      </c>
      <c r="AA10" s="14" t="n">
        <v>270</v>
      </c>
      <c r="AB10" s="14" t="n">
        <v>285</v>
      </c>
      <c r="AC10" s="14" t="n">
        <v>300</v>
      </c>
      <c r="AD10" s="14" t="n">
        <v>315</v>
      </c>
      <c r="AE10" s="14" t="n">
        <v>330</v>
      </c>
      <c r="AF10" s="14" t="n">
        <v>345</v>
      </c>
      <c r="AG10" s="14" t="n">
        <v>360</v>
      </c>
      <c r="AH10" s="14" t="n">
        <v>375</v>
      </c>
      <c r="AI10" s="14" t="n">
        <v>375</v>
      </c>
      <c r="AJ10" s="14" t="n">
        <v>375</v>
      </c>
      <c r="AK10" s="14" t="n">
        <v>375</v>
      </c>
      <c r="AL10" s="14" t="n">
        <v>375</v>
      </c>
      <c r="AM10" s="14" t="n">
        <v>375</v>
      </c>
      <c r="AN10" s="14" t="n">
        <v>375</v>
      </c>
      <c r="AO10" s="14" t="n">
        <v>375</v>
      </c>
      <c r="AP10" s="14" t="n">
        <v>375</v>
      </c>
      <c r="AQ10" s="14" t="n">
        <v>375</v>
      </c>
      <c r="AR10" s="14" t="n">
        <v>375</v>
      </c>
      <c r="AS10" s="14" t="n">
        <v>375</v>
      </c>
      <c r="AT10" s="14" t="n">
        <v>375</v>
      </c>
      <c r="AU10" s="14" t="n">
        <v>375</v>
      </c>
      <c r="AV10" s="14" t="n">
        <v>375</v>
      </c>
      <c r="AW10" s="14" t="n">
        <v>375</v>
      </c>
      <c r="AX10" s="14" t="n">
        <v>375</v>
      </c>
    </row>
    <row r="11">
      <c r="A11" t="inlineStr">
        <is>
          <t>Reductions — Onshore contractors ($K)</t>
        </is>
      </c>
      <c r="C11" s="14" t="n">
        <v>0</v>
      </c>
      <c r="D11" s="14" t="n">
        <v>0</v>
      </c>
      <c r="E11" s="14" t="n">
        <v>0</v>
      </c>
      <c r="F11" s="14" t="n">
        <v>0</v>
      </c>
      <c r="G11" s="14" t="n">
        <v>0</v>
      </c>
      <c r="H11" s="14" t="n">
        <v>0</v>
      </c>
      <c r="I11" s="14" t="n">
        <v>0</v>
      </c>
      <c r="J11" s="14" t="n">
        <v>12</v>
      </c>
      <c r="K11" s="14" t="n">
        <v>24</v>
      </c>
      <c r="L11" s="14" t="n">
        <v>36</v>
      </c>
      <c r="M11" s="14" t="n">
        <v>48</v>
      </c>
      <c r="N11" s="14" t="n">
        <v>60</v>
      </c>
      <c r="O11" s="14" t="n">
        <v>72</v>
      </c>
      <c r="P11" s="14" t="n">
        <v>84</v>
      </c>
      <c r="Q11" s="14" t="n">
        <v>96</v>
      </c>
      <c r="R11" s="14" t="n">
        <v>108</v>
      </c>
      <c r="S11" s="14" t="n">
        <v>120</v>
      </c>
      <c r="T11" s="14" t="n">
        <v>132</v>
      </c>
      <c r="U11" s="14" t="n">
        <v>144</v>
      </c>
      <c r="V11" s="14" t="n">
        <v>156</v>
      </c>
      <c r="W11" s="14" t="n">
        <v>168</v>
      </c>
      <c r="X11" s="14" t="n">
        <v>180</v>
      </c>
      <c r="Y11" s="14" t="n">
        <v>192</v>
      </c>
      <c r="Z11" s="14" t="n">
        <v>204</v>
      </c>
      <c r="AA11" s="14" t="n">
        <v>216</v>
      </c>
      <c r="AB11" s="14" t="n">
        <v>228</v>
      </c>
      <c r="AC11" s="14" t="n">
        <v>240</v>
      </c>
      <c r="AD11" s="14" t="n">
        <v>252</v>
      </c>
      <c r="AE11" s="14" t="n">
        <v>264</v>
      </c>
      <c r="AF11" s="14" t="n">
        <v>276</v>
      </c>
      <c r="AG11" s="14" t="n">
        <v>288</v>
      </c>
      <c r="AH11" s="14" t="n">
        <v>300</v>
      </c>
      <c r="AI11" s="14" t="n">
        <v>300</v>
      </c>
      <c r="AJ11" s="14" t="n">
        <v>300</v>
      </c>
      <c r="AK11" s="14" t="n">
        <v>300</v>
      </c>
      <c r="AL11" s="14" t="n">
        <v>300</v>
      </c>
      <c r="AM11" s="14" t="n">
        <v>300</v>
      </c>
      <c r="AN11" s="14" t="n">
        <v>300</v>
      </c>
      <c r="AO11" s="14" t="n">
        <v>300</v>
      </c>
      <c r="AP11" s="14" t="n">
        <v>300</v>
      </c>
      <c r="AQ11" s="14" t="n">
        <v>300</v>
      </c>
      <c r="AR11" s="14" t="n">
        <v>300</v>
      </c>
      <c r="AS11" s="14" t="n">
        <v>300</v>
      </c>
      <c r="AT11" s="14" t="n">
        <v>300</v>
      </c>
      <c r="AU11" s="14" t="n">
        <v>300</v>
      </c>
      <c r="AV11" s="14" t="n">
        <v>300</v>
      </c>
      <c r="AW11" s="14" t="n">
        <v>300</v>
      </c>
      <c r="AX11" s="14" t="n">
        <v>300</v>
      </c>
    </row>
    <row r="12">
      <c r="A12" t="inlineStr">
        <is>
          <t>Reductions — Employees / Other ($K)</t>
        </is>
      </c>
      <c r="C12" s="14" t="n">
        <v>0</v>
      </c>
      <c r="D12" s="14" t="n">
        <v>0</v>
      </c>
      <c r="E12" s="14" t="n">
        <v>0</v>
      </c>
      <c r="F12" s="14" t="n">
        <v>0</v>
      </c>
      <c r="G12" s="14" t="n">
        <v>0</v>
      </c>
      <c r="H12" s="14" t="n">
        <v>0</v>
      </c>
      <c r="I12" s="14" t="n">
        <v>0</v>
      </c>
      <c r="J12" s="14" t="n">
        <v>0</v>
      </c>
      <c r="K12" s="14" t="n">
        <v>0</v>
      </c>
      <c r="L12" s="14" t="n">
        <v>0</v>
      </c>
      <c r="M12" s="14" t="n">
        <v>6</v>
      </c>
      <c r="N12" s="14" t="n">
        <v>12</v>
      </c>
      <c r="O12" s="14" t="n">
        <v>18</v>
      </c>
      <c r="P12" s="14" t="n">
        <v>24</v>
      </c>
      <c r="Q12" s="14" t="n">
        <v>30</v>
      </c>
      <c r="R12" s="14" t="n">
        <v>36</v>
      </c>
      <c r="S12" s="14" t="n">
        <v>42</v>
      </c>
      <c r="T12" s="14" t="n">
        <v>48</v>
      </c>
      <c r="U12" s="14" t="n">
        <v>54</v>
      </c>
      <c r="V12" s="14" t="n">
        <v>60</v>
      </c>
      <c r="W12" s="14" t="n">
        <v>66</v>
      </c>
      <c r="X12" s="14" t="n">
        <v>72</v>
      </c>
      <c r="Y12" s="14" t="n">
        <v>78</v>
      </c>
      <c r="Z12" s="14" t="n">
        <v>84</v>
      </c>
      <c r="AA12" s="14" t="n">
        <v>90</v>
      </c>
      <c r="AB12" s="14" t="n">
        <v>96</v>
      </c>
      <c r="AC12" s="14" t="n">
        <v>102</v>
      </c>
      <c r="AD12" s="14" t="n">
        <v>108</v>
      </c>
      <c r="AE12" s="14" t="n">
        <v>114</v>
      </c>
      <c r="AF12" s="14" t="n">
        <v>120</v>
      </c>
      <c r="AG12" s="14" t="n">
        <v>126</v>
      </c>
      <c r="AH12" s="14" t="n">
        <v>132</v>
      </c>
      <c r="AI12" s="14" t="n">
        <v>138</v>
      </c>
      <c r="AJ12" s="14" t="n">
        <v>144</v>
      </c>
      <c r="AK12" s="14" t="n">
        <v>150</v>
      </c>
      <c r="AL12" s="14" t="n">
        <v>150</v>
      </c>
      <c r="AM12" s="14" t="n">
        <v>150</v>
      </c>
      <c r="AN12" s="14" t="n">
        <v>150</v>
      </c>
      <c r="AO12" s="14" t="n">
        <v>150</v>
      </c>
      <c r="AP12" s="14" t="n">
        <v>150</v>
      </c>
      <c r="AQ12" s="14" t="n">
        <v>150</v>
      </c>
      <c r="AR12" s="14" t="n">
        <v>150</v>
      </c>
      <c r="AS12" s="14" t="n">
        <v>150</v>
      </c>
      <c r="AT12" s="14" t="n">
        <v>150</v>
      </c>
      <c r="AU12" s="14" t="n">
        <v>150</v>
      </c>
      <c r="AV12" s="14" t="n">
        <v>150</v>
      </c>
      <c r="AW12" s="14" t="n">
        <v>150</v>
      </c>
      <c r="AX12" s="14" t="n">
        <v>150</v>
      </c>
    </row>
    <row r="13">
      <c r="A13" t="inlineStr">
        <is>
          <t>India cost adds ($K)</t>
        </is>
      </c>
      <c r="C13" s="14" t="n">
        <v>34</v>
      </c>
      <c r="D13" s="14" t="n">
        <v>68</v>
      </c>
      <c r="E13" s="14" t="n">
        <v>101</v>
      </c>
      <c r="F13" s="14" t="n">
        <v>135</v>
      </c>
      <c r="G13" s="14" t="n">
        <v>169</v>
      </c>
      <c r="H13" s="14" t="n">
        <v>202</v>
      </c>
      <c r="I13" s="14" t="n">
        <v>236</v>
      </c>
      <c r="J13" s="14" t="n">
        <v>270</v>
      </c>
      <c r="K13" s="14" t="n">
        <v>304</v>
      </c>
      <c r="L13" s="14" t="n">
        <v>338</v>
      </c>
      <c r="M13" s="14" t="n">
        <v>371</v>
      </c>
      <c r="N13" s="14" t="n">
        <v>405</v>
      </c>
      <c r="O13" s="14" t="n">
        <v>461</v>
      </c>
      <c r="P13" s="14" t="n">
        <v>518</v>
      </c>
      <c r="Q13" s="14" t="n">
        <v>574</v>
      </c>
      <c r="R13" s="14" t="n">
        <v>630</v>
      </c>
      <c r="S13" s="14" t="n">
        <v>686</v>
      </c>
      <c r="T13" s="14" t="n">
        <v>742</v>
      </c>
      <c r="U13" s="14" t="n">
        <v>799</v>
      </c>
      <c r="V13" s="14" t="n">
        <v>855</v>
      </c>
      <c r="W13" s="14" t="n">
        <v>911</v>
      </c>
      <c r="X13" s="14" t="n">
        <v>968</v>
      </c>
      <c r="Y13" s="14" t="n">
        <v>1024</v>
      </c>
      <c r="Z13" s="14" t="n">
        <v>1080</v>
      </c>
      <c r="AA13" s="14" t="n">
        <v>1080</v>
      </c>
      <c r="AB13" s="14" t="n">
        <v>1080</v>
      </c>
      <c r="AC13" s="14" t="n">
        <v>1080</v>
      </c>
      <c r="AD13" s="14" t="n">
        <v>1080</v>
      </c>
      <c r="AE13" s="14" t="n">
        <v>1080</v>
      </c>
      <c r="AF13" s="14" t="n">
        <v>1080</v>
      </c>
      <c r="AG13" s="14" t="n">
        <v>1080</v>
      </c>
      <c r="AH13" s="14" t="n">
        <v>1080</v>
      </c>
      <c r="AI13" s="14" t="n">
        <v>1080</v>
      </c>
      <c r="AJ13" s="14" t="n">
        <v>1080</v>
      </c>
      <c r="AK13" s="14" t="n">
        <v>1080</v>
      </c>
      <c r="AL13" s="14" t="n">
        <v>1080</v>
      </c>
      <c r="AM13" s="14" t="n">
        <v>1080</v>
      </c>
      <c r="AN13" s="14" t="n">
        <v>1080</v>
      </c>
      <c r="AO13" s="14" t="n">
        <v>1080</v>
      </c>
      <c r="AP13" s="14" t="n">
        <v>1080</v>
      </c>
      <c r="AQ13" s="14" t="n">
        <v>1080</v>
      </c>
      <c r="AR13" s="14" t="n">
        <v>1080</v>
      </c>
      <c r="AS13" s="14" t="n">
        <v>1080</v>
      </c>
      <c r="AT13" s="14" t="n">
        <v>1080</v>
      </c>
      <c r="AU13" s="14" t="n">
        <v>1080</v>
      </c>
      <c r="AV13" s="14" t="n">
        <v>1080</v>
      </c>
      <c r="AW13" s="14" t="n">
        <v>1080</v>
      </c>
      <c r="AX13" s="14" t="n">
        <v>1080</v>
      </c>
    </row>
    <row r="14">
      <c r="A14" s="8" t="inlineStr">
        <is>
          <t>Net labor arbitrage ($K)</t>
        </is>
      </c>
      <c r="C14" s="15">
        <f>SUM(C9:C12)-C13</f>
        <v/>
      </c>
      <c r="D14" s="15">
        <f>SUM(D9:D12)-D13</f>
        <v/>
      </c>
      <c r="E14" s="15">
        <f>SUM(E9:E12)-E13</f>
        <v/>
      </c>
      <c r="F14" s="15">
        <f>SUM(F9:F12)-F13</f>
        <v/>
      </c>
      <c r="G14" s="15">
        <f>SUM(G9:G12)-G13</f>
        <v/>
      </c>
      <c r="H14" s="15">
        <f>SUM(H9:H12)-H13</f>
        <v/>
      </c>
      <c r="I14" s="15">
        <f>SUM(I9:I12)-I13</f>
        <v/>
      </c>
      <c r="J14" s="15">
        <f>SUM(J9:J12)-J13</f>
        <v/>
      </c>
      <c r="K14" s="15">
        <f>SUM(K9:K12)-K13</f>
        <v/>
      </c>
      <c r="L14" s="15">
        <f>SUM(L9:L12)-L13</f>
        <v/>
      </c>
      <c r="M14" s="15">
        <f>SUM(M9:M12)-M13</f>
        <v/>
      </c>
      <c r="N14" s="15">
        <f>SUM(N9:N12)-N13</f>
        <v/>
      </c>
      <c r="O14" s="15">
        <f>SUM(O9:O12)-O13</f>
        <v/>
      </c>
      <c r="P14" s="15">
        <f>SUM(P9:P12)-P13</f>
        <v/>
      </c>
      <c r="Q14" s="15">
        <f>SUM(Q9:Q12)-Q13</f>
        <v/>
      </c>
      <c r="R14" s="15">
        <f>SUM(R9:R12)-R13</f>
        <v/>
      </c>
      <c r="S14" s="15">
        <f>SUM(S9:S12)-S13</f>
        <v/>
      </c>
      <c r="T14" s="15">
        <f>SUM(T9:T12)-T13</f>
        <v/>
      </c>
      <c r="U14" s="15">
        <f>SUM(U9:U12)-U13</f>
        <v/>
      </c>
      <c r="V14" s="15">
        <f>SUM(V9:V12)-V13</f>
        <v/>
      </c>
      <c r="W14" s="15">
        <f>SUM(W9:W12)-W13</f>
        <v/>
      </c>
      <c r="X14" s="15">
        <f>SUM(X9:X12)-X13</f>
        <v/>
      </c>
      <c r="Y14" s="15">
        <f>SUM(Y9:Y12)-Y13</f>
        <v/>
      </c>
      <c r="Z14" s="15">
        <f>SUM(Z9:Z12)-Z13</f>
        <v/>
      </c>
      <c r="AA14" s="15">
        <f>SUM(AA9:AA12)-AA13</f>
        <v/>
      </c>
      <c r="AB14" s="15">
        <f>SUM(AB9:AB12)-AB13</f>
        <v/>
      </c>
      <c r="AC14" s="15">
        <f>SUM(AC9:AC12)-AC13</f>
        <v/>
      </c>
      <c r="AD14" s="15">
        <f>SUM(AD9:AD12)-AD13</f>
        <v/>
      </c>
      <c r="AE14" s="15">
        <f>SUM(AE9:AE12)-AE13</f>
        <v/>
      </c>
      <c r="AF14" s="15">
        <f>SUM(AF9:AF12)-AF13</f>
        <v/>
      </c>
      <c r="AG14" s="15">
        <f>SUM(AG9:AG12)-AG13</f>
        <v/>
      </c>
      <c r="AH14" s="15">
        <f>SUM(AH9:AH12)-AH13</f>
        <v/>
      </c>
      <c r="AI14" s="15">
        <f>SUM(AI9:AI12)-AI13</f>
        <v/>
      </c>
      <c r="AJ14" s="15">
        <f>SUM(AJ9:AJ12)-AJ13</f>
        <v/>
      </c>
      <c r="AK14" s="15">
        <f>SUM(AK9:AK12)-AK13</f>
        <v/>
      </c>
      <c r="AL14" s="15">
        <f>SUM(AL9:AL12)-AL13</f>
        <v/>
      </c>
      <c r="AM14" s="15">
        <f>SUM(AM9:AM12)-AM13</f>
        <v/>
      </c>
      <c r="AN14" s="15">
        <f>SUM(AN9:AN12)-AN13</f>
        <v/>
      </c>
      <c r="AO14" s="15">
        <f>SUM(AO9:AO12)-AO13</f>
        <v/>
      </c>
      <c r="AP14" s="15">
        <f>SUM(AP9:AP12)-AP13</f>
        <v/>
      </c>
      <c r="AQ14" s="15">
        <f>SUM(AQ9:AQ12)-AQ13</f>
        <v/>
      </c>
      <c r="AR14" s="15">
        <f>SUM(AR9:AR12)-AR13</f>
        <v/>
      </c>
      <c r="AS14" s="15">
        <f>SUM(AS9:AS12)-AS13</f>
        <v/>
      </c>
      <c r="AT14" s="15">
        <f>SUM(AT9:AT12)-AT13</f>
        <v/>
      </c>
      <c r="AU14" s="15">
        <f>SUM(AU9:AU12)-AU13</f>
        <v/>
      </c>
      <c r="AV14" s="15">
        <f>SUM(AV9:AV12)-AV13</f>
        <v/>
      </c>
      <c r="AW14" s="15">
        <f>SUM(AW9:AW12)-AW13</f>
        <v/>
      </c>
      <c r="AX14" s="15">
        <f>SUM(AX9:AX12)-AX13</f>
        <v/>
      </c>
    </row>
    <row r="16">
      <c r="A16" s="11">
        <f>CONCATENATE("ORG: ",Setup!$B$5)</f>
        <v/>
      </c>
      <c r="B16" s="12" t="n"/>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row>
    <row r="17">
      <c r="A17" t="inlineStr">
        <is>
          <t>India hires (heads)</t>
        </is>
      </c>
      <c r="C17" s="13" t="n">
        <v>8</v>
      </c>
      <c r="D17" s="13" t="n">
        <v>8</v>
      </c>
      <c r="E17" s="13" t="n">
        <v>8</v>
      </c>
      <c r="F17" s="13" t="n">
        <v>8</v>
      </c>
      <c r="G17" s="13" t="n">
        <v>8</v>
      </c>
      <c r="H17" s="13" t="n">
        <v>8</v>
      </c>
      <c r="I17" s="13" t="n">
        <v>8</v>
      </c>
      <c r="J17" s="13" t="n">
        <v>8</v>
      </c>
      <c r="K17" s="13" t="n">
        <v>8</v>
      </c>
      <c r="L17" s="13" t="n">
        <v>8</v>
      </c>
      <c r="M17" s="13" t="n">
        <v>8</v>
      </c>
      <c r="N17" s="13" t="n">
        <v>8</v>
      </c>
      <c r="O17" s="13" t="n">
        <v>13</v>
      </c>
      <c r="P17" s="13" t="n">
        <v>13</v>
      </c>
      <c r="Q17" s="13" t="n">
        <v>13</v>
      </c>
      <c r="R17" s="13" t="n">
        <v>13</v>
      </c>
      <c r="S17" s="13" t="n">
        <v>13</v>
      </c>
      <c r="T17" s="13" t="n">
        <v>13</v>
      </c>
      <c r="U17" s="13" t="n">
        <v>13</v>
      </c>
      <c r="V17" s="13" t="n">
        <v>13</v>
      </c>
      <c r="W17" s="13" t="n">
        <v>13</v>
      </c>
      <c r="X17" s="13" t="n">
        <v>13</v>
      </c>
      <c r="Y17" s="13" t="n">
        <v>13</v>
      </c>
      <c r="Z17" s="13" t="n">
        <v>13</v>
      </c>
      <c r="AA17" s="13" t="n">
        <v>0</v>
      </c>
      <c r="AB17" s="13" t="n">
        <v>0</v>
      </c>
      <c r="AC17" s="13" t="n">
        <v>0</v>
      </c>
      <c r="AD17" s="13" t="n">
        <v>0</v>
      </c>
      <c r="AE17" s="13" t="n">
        <v>0</v>
      </c>
      <c r="AF17" s="13" t="n">
        <v>0</v>
      </c>
      <c r="AG17" s="13" t="n">
        <v>0</v>
      </c>
      <c r="AH17" s="13" t="n">
        <v>0</v>
      </c>
      <c r="AI17" s="13" t="n">
        <v>0</v>
      </c>
      <c r="AJ17" s="13" t="n">
        <v>0</v>
      </c>
      <c r="AK17" s="13" t="n">
        <v>0</v>
      </c>
      <c r="AL17" s="13" t="n">
        <v>0</v>
      </c>
      <c r="AM17" s="13" t="n">
        <v>0</v>
      </c>
      <c r="AN17" s="13" t="n">
        <v>0</v>
      </c>
      <c r="AO17" s="13" t="n">
        <v>0</v>
      </c>
      <c r="AP17" s="13" t="n">
        <v>0</v>
      </c>
      <c r="AQ17" s="13" t="n">
        <v>0</v>
      </c>
      <c r="AR17" s="13" t="n">
        <v>0</v>
      </c>
      <c r="AS17" s="13" t="n">
        <v>0</v>
      </c>
      <c r="AT17" s="13" t="n">
        <v>0</v>
      </c>
      <c r="AU17" s="13" t="n">
        <v>0</v>
      </c>
      <c r="AV17" s="13" t="n">
        <v>0</v>
      </c>
      <c r="AW17" s="13" t="n">
        <v>0</v>
      </c>
      <c r="AX17" s="13" t="n">
        <v>0</v>
      </c>
    </row>
    <row r="18">
      <c r="A18" t="inlineStr">
        <is>
          <t>Reductions — Professional services ($K)</t>
        </is>
      </c>
      <c r="C18" s="14" t="n">
        <v>0</v>
      </c>
      <c r="D18" s="14" t="n">
        <v>0</v>
      </c>
      <c r="E18" s="14" t="n">
        <v>0</v>
      </c>
      <c r="F18" s="14" t="n">
        <v>0</v>
      </c>
      <c r="G18" s="14" t="n">
        <v>32</v>
      </c>
      <c r="H18" s="14" t="n">
        <v>65</v>
      </c>
      <c r="I18" s="14" t="n">
        <v>98</v>
      </c>
      <c r="J18" s="14" t="n">
        <v>130</v>
      </c>
      <c r="K18" s="14" t="n">
        <v>162</v>
      </c>
      <c r="L18" s="14" t="n">
        <v>195</v>
      </c>
      <c r="M18" s="14" t="n">
        <v>228</v>
      </c>
      <c r="N18" s="14" t="n">
        <v>260</v>
      </c>
      <c r="O18" s="14" t="n">
        <v>292</v>
      </c>
      <c r="P18" s="14" t="n">
        <v>325</v>
      </c>
      <c r="Q18" s="14" t="n">
        <v>358</v>
      </c>
      <c r="R18" s="14" t="n">
        <v>390</v>
      </c>
      <c r="S18" s="14" t="n">
        <v>422</v>
      </c>
      <c r="T18" s="14" t="n">
        <v>455</v>
      </c>
      <c r="U18" s="14" t="n">
        <v>488</v>
      </c>
      <c r="V18" s="14" t="n">
        <v>520</v>
      </c>
      <c r="W18" s="14" t="n">
        <v>552</v>
      </c>
      <c r="X18" s="14" t="n">
        <v>585</v>
      </c>
      <c r="Y18" s="14" t="n">
        <v>618</v>
      </c>
      <c r="Z18" s="14" t="n">
        <v>650</v>
      </c>
      <c r="AA18" s="14" t="n">
        <v>682</v>
      </c>
      <c r="AB18" s="14" t="n">
        <v>715</v>
      </c>
      <c r="AC18" s="14" t="n">
        <v>748</v>
      </c>
      <c r="AD18" s="14" t="n">
        <v>780</v>
      </c>
      <c r="AE18" s="14" t="n">
        <v>780</v>
      </c>
      <c r="AF18" s="14" t="n">
        <v>780</v>
      </c>
      <c r="AG18" s="14" t="n">
        <v>780</v>
      </c>
      <c r="AH18" s="14" t="n">
        <v>780</v>
      </c>
      <c r="AI18" s="14" t="n">
        <v>780</v>
      </c>
      <c r="AJ18" s="14" t="n">
        <v>780</v>
      </c>
      <c r="AK18" s="14" t="n">
        <v>780</v>
      </c>
      <c r="AL18" s="14" t="n">
        <v>780</v>
      </c>
      <c r="AM18" s="14" t="n">
        <v>780</v>
      </c>
      <c r="AN18" s="14" t="n">
        <v>780</v>
      </c>
      <c r="AO18" s="14" t="n">
        <v>780</v>
      </c>
      <c r="AP18" s="14" t="n">
        <v>780</v>
      </c>
      <c r="AQ18" s="14" t="n">
        <v>780</v>
      </c>
      <c r="AR18" s="14" t="n">
        <v>780</v>
      </c>
      <c r="AS18" s="14" t="n">
        <v>780</v>
      </c>
      <c r="AT18" s="14" t="n">
        <v>780</v>
      </c>
      <c r="AU18" s="14" t="n">
        <v>780</v>
      </c>
      <c r="AV18" s="14" t="n">
        <v>780</v>
      </c>
      <c r="AW18" s="14" t="n">
        <v>780</v>
      </c>
      <c r="AX18" s="14" t="n">
        <v>780</v>
      </c>
    </row>
    <row r="19">
      <c r="A19" t="inlineStr">
        <is>
          <t>Reductions — Offshore contractors ($K)</t>
        </is>
      </c>
      <c r="C19" s="14" t="n">
        <v>0</v>
      </c>
      <c r="D19" s="14" t="n">
        <v>0</v>
      </c>
      <c r="E19" s="14" t="n">
        <v>0</v>
      </c>
      <c r="F19" s="14" t="n">
        <v>0</v>
      </c>
      <c r="G19" s="14" t="n">
        <v>0</v>
      </c>
      <c r="H19" s="14" t="n">
        <v>0</v>
      </c>
      <c r="I19" s="14" t="n">
        <v>0</v>
      </c>
      <c r="J19" s="14" t="n">
        <v>13</v>
      </c>
      <c r="K19" s="14" t="n">
        <v>26</v>
      </c>
      <c r="L19" s="14" t="n">
        <v>39</v>
      </c>
      <c r="M19" s="14" t="n">
        <v>52</v>
      </c>
      <c r="N19" s="14" t="n">
        <v>65</v>
      </c>
      <c r="O19" s="14" t="n">
        <v>78</v>
      </c>
      <c r="P19" s="14" t="n">
        <v>91</v>
      </c>
      <c r="Q19" s="14" t="n">
        <v>104</v>
      </c>
      <c r="R19" s="14" t="n">
        <v>117</v>
      </c>
      <c r="S19" s="14" t="n">
        <v>130</v>
      </c>
      <c r="T19" s="14" t="n">
        <v>143</v>
      </c>
      <c r="U19" s="14" t="n">
        <v>156</v>
      </c>
      <c r="V19" s="14" t="n">
        <v>169</v>
      </c>
      <c r="W19" s="14" t="n">
        <v>182</v>
      </c>
      <c r="X19" s="14" t="n">
        <v>195</v>
      </c>
      <c r="Y19" s="14" t="n">
        <v>208</v>
      </c>
      <c r="Z19" s="14" t="n">
        <v>221</v>
      </c>
      <c r="AA19" s="14" t="n">
        <v>234</v>
      </c>
      <c r="AB19" s="14" t="n">
        <v>247</v>
      </c>
      <c r="AC19" s="14" t="n">
        <v>260</v>
      </c>
      <c r="AD19" s="14" t="n">
        <v>273</v>
      </c>
      <c r="AE19" s="14" t="n">
        <v>286</v>
      </c>
      <c r="AF19" s="14" t="n">
        <v>299</v>
      </c>
      <c r="AG19" s="14" t="n">
        <v>312</v>
      </c>
      <c r="AH19" s="14" t="n">
        <v>325</v>
      </c>
      <c r="AI19" s="14" t="n">
        <v>325</v>
      </c>
      <c r="AJ19" s="14" t="n">
        <v>325</v>
      </c>
      <c r="AK19" s="14" t="n">
        <v>325</v>
      </c>
      <c r="AL19" s="14" t="n">
        <v>325</v>
      </c>
      <c r="AM19" s="14" t="n">
        <v>325</v>
      </c>
      <c r="AN19" s="14" t="n">
        <v>325</v>
      </c>
      <c r="AO19" s="14" t="n">
        <v>325</v>
      </c>
      <c r="AP19" s="14" t="n">
        <v>325</v>
      </c>
      <c r="AQ19" s="14" t="n">
        <v>325</v>
      </c>
      <c r="AR19" s="14" t="n">
        <v>325</v>
      </c>
      <c r="AS19" s="14" t="n">
        <v>325</v>
      </c>
      <c r="AT19" s="14" t="n">
        <v>325</v>
      </c>
      <c r="AU19" s="14" t="n">
        <v>325</v>
      </c>
      <c r="AV19" s="14" t="n">
        <v>325</v>
      </c>
      <c r="AW19" s="14" t="n">
        <v>325</v>
      </c>
      <c r="AX19" s="14" t="n">
        <v>325</v>
      </c>
    </row>
    <row r="20">
      <c r="A20" t="inlineStr">
        <is>
          <t>Reductions — Onshore contractors ($K)</t>
        </is>
      </c>
      <c r="C20" s="14" t="n">
        <v>0</v>
      </c>
      <c r="D20" s="14" t="n">
        <v>0</v>
      </c>
      <c r="E20" s="14" t="n">
        <v>0</v>
      </c>
      <c r="F20" s="14" t="n">
        <v>0</v>
      </c>
      <c r="G20" s="14" t="n">
        <v>0</v>
      </c>
      <c r="H20" s="14" t="n">
        <v>0</v>
      </c>
      <c r="I20" s="14" t="n">
        <v>0</v>
      </c>
      <c r="J20" s="14" t="n">
        <v>10</v>
      </c>
      <c r="K20" s="14" t="n">
        <v>21</v>
      </c>
      <c r="L20" s="14" t="n">
        <v>31</v>
      </c>
      <c r="M20" s="14" t="n">
        <v>42</v>
      </c>
      <c r="N20" s="14" t="n">
        <v>52</v>
      </c>
      <c r="O20" s="14" t="n">
        <v>62</v>
      </c>
      <c r="P20" s="14" t="n">
        <v>73</v>
      </c>
      <c r="Q20" s="14" t="n">
        <v>83</v>
      </c>
      <c r="R20" s="14" t="n">
        <v>94</v>
      </c>
      <c r="S20" s="14" t="n">
        <v>104</v>
      </c>
      <c r="T20" s="14" t="n">
        <v>114</v>
      </c>
      <c r="U20" s="14" t="n">
        <v>125</v>
      </c>
      <c r="V20" s="14" t="n">
        <v>135</v>
      </c>
      <c r="W20" s="14" t="n">
        <v>146</v>
      </c>
      <c r="X20" s="14" t="n">
        <v>156</v>
      </c>
      <c r="Y20" s="14" t="n">
        <v>166</v>
      </c>
      <c r="Z20" s="14" t="n">
        <v>177</v>
      </c>
      <c r="AA20" s="14" t="n">
        <v>187</v>
      </c>
      <c r="AB20" s="14" t="n">
        <v>198</v>
      </c>
      <c r="AC20" s="14" t="n">
        <v>208</v>
      </c>
      <c r="AD20" s="14" t="n">
        <v>218</v>
      </c>
      <c r="AE20" s="14" t="n">
        <v>229</v>
      </c>
      <c r="AF20" s="14" t="n">
        <v>239</v>
      </c>
      <c r="AG20" s="14" t="n">
        <v>250</v>
      </c>
      <c r="AH20" s="14" t="n">
        <v>260</v>
      </c>
      <c r="AI20" s="14" t="n">
        <v>260</v>
      </c>
      <c r="AJ20" s="14" t="n">
        <v>260</v>
      </c>
      <c r="AK20" s="14" t="n">
        <v>260</v>
      </c>
      <c r="AL20" s="14" t="n">
        <v>260</v>
      </c>
      <c r="AM20" s="14" t="n">
        <v>260</v>
      </c>
      <c r="AN20" s="14" t="n">
        <v>260</v>
      </c>
      <c r="AO20" s="14" t="n">
        <v>260</v>
      </c>
      <c r="AP20" s="14" t="n">
        <v>260</v>
      </c>
      <c r="AQ20" s="14" t="n">
        <v>260</v>
      </c>
      <c r="AR20" s="14" t="n">
        <v>260</v>
      </c>
      <c r="AS20" s="14" t="n">
        <v>260</v>
      </c>
      <c r="AT20" s="14" t="n">
        <v>260</v>
      </c>
      <c r="AU20" s="14" t="n">
        <v>260</v>
      </c>
      <c r="AV20" s="14" t="n">
        <v>260</v>
      </c>
      <c r="AW20" s="14" t="n">
        <v>260</v>
      </c>
      <c r="AX20" s="14" t="n">
        <v>260</v>
      </c>
    </row>
    <row r="21">
      <c r="A21" t="inlineStr">
        <is>
          <t>Reductions — Employees / Other ($K)</t>
        </is>
      </c>
      <c r="C21" s="14" t="n">
        <v>0</v>
      </c>
      <c r="D21" s="14" t="n">
        <v>0</v>
      </c>
      <c r="E21" s="14" t="n">
        <v>0</v>
      </c>
      <c r="F21" s="14" t="n">
        <v>0</v>
      </c>
      <c r="G21" s="14" t="n">
        <v>0</v>
      </c>
      <c r="H21" s="14" t="n">
        <v>0</v>
      </c>
      <c r="I21" s="14" t="n">
        <v>0</v>
      </c>
      <c r="J21" s="14" t="n">
        <v>0</v>
      </c>
      <c r="K21" s="14" t="n">
        <v>0</v>
      </c>
      <c r="L21" s="14" t="n">
        <v>0</v>
      </c>
      <c r="M21" s="14" t="n">
        <v>5</v>
      </c>
      <c r="N21" s="14" t="n">
        <v>10</v>
      </c>
      <c r="O21" s="14" t="n">
        <v>16</v>
      </c>
      <c r="P21" s="14" t="n">
        <v>21</v>
      </c>
      <c r="Q21" s="14" t="n">
        <v>26</v>
      </c>
      <c r="R21" s="14" t="n">
        <v>31</v>
      </c>
      <c r="S21" s="14" t="n">
        <v>36</v>
      </c>
      <c r="T21" s="14" t="n">
        <v>42</v>
      </c>
      <c r="U21" s="14" t="n">
        <v>47</v>
      </c>
      <c r="V21" s="14" t="n">
        <v>52</v>
      </c>
      <c r="W21" s="14" t="n">
        <v>57</v>
      </c>
      <c r="X21" s="14" t="n">
        <v>62</v>
      </c>
      <c r="Y21" s="14" t="n">
        <v>68</v>
      </c>
      <c r="Z21" s="14" t="n">
        <v>73</v>
      </c>
      <c r="AA21" s="14" t="n">
        <v>78</v>
      </c>
      <c r="AB21" s="14" t="n">
        <v>83</v>
      </c>
      <c r="AC21" s="14" t="n">
        <v>88</v>
      </c>
      <c r="AD21" s="14" t="n">
        <v>94</v>
      </c>
      <c r="AE21" s="14" t="n">
        <v>99</v>
      </c>
      <c r="AF21" s="14" t="n">
        <v>104</v>
      </c>
      <c r="AG21" s="14" t="n">
        <v>109</v>
      </c>
      <c r="AH21" s="14" t="n">
        <v>114</v>
      </c>
      <c r="AI21" s="14" t="n">
        <v>120</v>
      </c>
      <c r="AJ21" s="14" t="n">
        <v>125</v>
      </c>
      <c r="AK21" s="14" t="n">
        <v>130</v>
      </c>
      <c r="AL21" s="14" t="n">
        <v>130</v>
      </c>
      <c r="AM21" s="14" t="n">
        <v>130</v>
      </c>
      <c r="AN21" s="14" t="n">
        <v>130</v>
      </c>
      <c r="AO21" s="14" t="n">
        <v>130</v>
      </c>
      <c r="AP21" s="14" t="n">
        <v>130</v>
      </c>
      <c r="AQ21" s="14" t="n">
        <v>130</v>
      </c>
      <c r="AR21" s="14" t="n">
        <v>130</v>
      </c>
      <c r="AS21" s="14" t="n">
        <v>130</v>
      </c>
      <c r="AT21" s="14" t="n">
        <v>130</v>
      </c>
      <c r="AU21" s="14" t="n">
        <v>130</v>
      </c>
      <c r="AV21" s="14" t="n">
        <v>130</v>
      </c>
      <c r="AW21" s="14" t="n">
        <v>130</v>
      </c>
      <c r="AX21" s="14" t="n">
        <v>130</v>
      </c>
    </row>
    <row r="22">
      <c r="A22" t="inlineStr">
        <is>
          <t>India cost adds ($K)</t>
        </is>
      </c>
      <c r="C22" s="14" t="n">
        <v>30</v>
      </c>
      <c r="D22" s="14" t="n">
        <v>60</v>
      </c>
      <c r="E22" s="14" t="n">
        <v>90</v>
      </c>
      <c r="F22" s="14" t="n">
        <v>120</v>
      </c>
      <c r="G22" s="14" t="n">
        <v>150</v>
      </c>
      <c r="H22" s="14" t="n">
        <v>180</v>
      </c>
      <c r="I22" s="14" t="n">
        <v>210</v>
      </c>
      <c r="J22" s="14" t="n">
        <v>240</v>
      </c>
      <c r="K22" s="14" t="n">
        <v>270</v>
      </c>
      <c r="L22" s="14" t="n">
        <v>300</v>
      </c>
      <c r="M22" s="14" t="n">
        <v>330</v>
      </c>
      <c r="N22" s="14" t="n">
        <v>360</v>
      </c>
      <c r="O22" s="14" t="n">
        <v>409</v>
      </c>
      <c r="P22" s="14" t="n">
        <v>458</v>
      </c>
      <c r="Q22" s="14" t="n">
        <v>506</v>
      </c>
      <c r="R22" s="14" t="n">
        <v>555</v>
      </c>
      <c r="S22" s="14" t="n">
        <v>604</v>
      </c>
      <c r="T22" s="14" t="n">
        <v>652</v>
      </c>
      <c r="U22" s="14" t="n">
        <v>701</v>
      </c>
      <c r="V22" s="14" t="n">
        <v>750</v>
      </c>
      <c r="W22" s="14" t="n">
        <v>799</v>
      </c>
      <c r="X22" s="14" t="n">
        <v>848</v>
      </c>
      <c r="Y22" s="14" t="n">
        <v>896</v>
      </c>
      <c r="Z22" s="14" t="n">
        <v>945</v>
      </c>
      <c r="AA22" s="14" t="n">
        <v>945</v>
      </c>
      <c r="AB22" s="14" t="n">
        <v>945</v>
      </c>
      <c r="AC22" s="14" t="n">
        <v>945</v>
      </c>
      <c r="AD22" s="14" t="n">
        <v>945</v>
      </c>
      <c r="AE22" s="14" t="n">
        <v>945</v>
      </c>
      <c r="AF22" s="14" t="n">
        <v>945</v>
      </c>
      <c r="AG22" s="14" t="n">
        <v>945</v>
      </c>
      <c r="AH22" s="14" t="n">
        <v>945</v>
      </c>
      <c r="AI22" s="14" t="n">
        <v>945</v>
      </c>
      <c r="AJ22" s="14" t="n">
        <v>945</v>
      </c>
      <c r="AK22" s="14" t="n">
        <v>945</v>
      </c>
      <c r="AL22" s="14" t="n">
        <v>945</v>
      </c>
      <c r="AM22" s="14" t="n">
        <v>945</v>
      </c>
      <c r="AN22" s="14" t="n">
        <v>945</v>
      </c>
      <c r="AO22" s="14" t="n">
        <v>945</v>
      </c>
      <c r="AP22" s="14" t="n">
        <v>945</v>
      </c>
      <c r="AQ22" s="14" t="n">
        <v>945</v>
      </c>
      <c r="AR22" s="14" t="n">
        <v>945</v>
      </c>
      <c r="AS22" s="14" t="n">
        <v>945</v>
      </c>
      <c r="AT22" s="14" t="n">
        <v>945</v>
      </c>
      <c r="AU22" s="14" t="n">
        <v>945</v>
      </c>
      <c r="AV22" s="14" t="n">
        <v>945</v>
      </c>
      <c r="AW22" s="14" t="n">
        <v>945</v>
      </c>
      <c r="AX22" s="14" t="n">
        <v>945</v>
      </c>
    </row>
    <row r="23">
      <c r="A23" s="8" t="inlineStr">
        <is>
          <t>Net labor arbitrage ($K)</t>
        </is>
      </c>
      <c r="C23" s="15">
        <f>SUM(C18:C21)-C22</f>
        <v/>
      </c>
      <c r="D23" s="15">
        <f>SUM(D18:D21)-D22</f>
        <v/>
      </c>
      <c r="E23" s="15">
        <f>SUM(E18:E21)-E22</f>
        <v/>
      </c>
      <c r="F23" s="15">
        <f>SUM(F18:F21)-F22</f>
        <v/>
      </c>
      <c r="G23" s="15">
        <f>SUM(G18:G21)-G22</f>
        <v/>
      </c>
      <c r="H23" s="15">
        <f>SUM(H18:H21)-H22</f>
        <v/>
      </c>
      <c r="I23" s="15">
        <f>SUM(I18:I21)-I22</f>
        <v/>
      </c>
      <c r="J23" s="15">
        <f>SUM(J18:J21)-J22</f>
        <v/>
      </c>
      <c r="K23" s="15">
        <f>SUM(K18:K21)-K22</f>
        <v/>
      </c>
      <c r="L23" s="15">
        <f>SUM(L18:L21)-L22</f>
        <v/>
      </c>
      <c r="M23" s="15">
        <f>SUM(M18:M21)-M22</f>
        <v/>
      </c>
      <c r="N23" s="15">
        <f>SUM(N18:N21)-N22</f>
        <v/>
      </c>
      <c r="O23" s="15">
        <f>SUM(O18:O21)-O22</f>
        <v/>
      </c>
      <c r="P23" s="15">
        <f>SUM(P18:P21)-P22</f>
        <v/>
      </c>
      <c r="Q23" s="15">
        <f>SUM(Q18:Q21)-Q22</f>
        <v/>
      </c>
      <c r="R23" s="15">
        <f>SUM(R18:R21)-R22</f>
        <v/>
      </c>
      <c r="S23" s="15">
        <f>SUM(S18:S21)-S22</f>
        <v/>
      </c>
      <c r="T23" s="15">
        <f>SUM(T18:T21)-T22</f>
        <v/>
      </c>
      <c r="U23" s="15">
        <f>SUM(U18:U21)-U22</f>
        <v/>
      </c>
      <c r="V23" s="15">
        <f>SUM(V18:V21)-V22</f>
        <v/>
      </c>
      <c r="W23" s="15">
        <f>SUM(W18:W21)-W22</f>
        <v/>
      </c>
      <c r="X23" s="15">
        <f>SUM(X18:X21)-X22</f>
        <v/>
      </c>
      <c r="Y23" s="15">
        <f>SUM(Y18:Y21)-Y22</f>
        <v/>
      </c>
      <c r="Z23" s="15">
        <f>SUM(Z18:Z21)-Z22</f>
        <v/>
      </c>
      <c r="AA23" s="15">
        <f>SUM(AA18:AA21)-AA22</f>
        <v/>
      </c>
      <c r="AB23" s="15">
        <f>SUM(AB18:AB21)-AB22</f>
        <v/>
      </c>
      <c r="AC23" s="15">
        <f>SUM(AC18:AC21)-AC22</f>
        <v/>
      </c>
      <c r="AD23" s="15">
        <f>SUM(AD18:AD21)-AD22</f>
        <v/>
      </c>
      <c r="AE23" s="15">
        <f>SUM(AE18:AE21)-AE22</f>
        <v/>
      </c>
      <c r="AF23" s="15">
        <f>SUM(AF18:AF21)-AF22</f>
        <v/>
      </c>
      <c r="AG23" s="15">
        <f>SUM(AG18:AG21)-AG22</f>
        <v/>
      </c>
      <c r="AH23" s="15">
        <f>SUM(AH18:AH21)-AH22</f>
        <v/>
      </c>
      <c r="AI23" s="15">
        <f>SUM(AI18:AI21)-AI22</f>
        <v/>
      </c>
      <c r="AJ23" s="15">
        <f>SUM(AJ18:AJ21)-AJ22</f>
        <v/>
      </c>
      <c r="AK23" s="15">
        <f>SUM(AK18:AK21)-AK22</f>
        <v/>
      </c>
      <c r="AL23" s="15">
        <f>SUM(AL18:AL21)-AL22</f>
        <v/>
      </c>
      <c r="AM23" s="15">
        <f>SUM(AM18:AM21)-AM22</f>
        <v/>
      </c>
      <c r="AN23" s="15">
        <f>SUM(AN18:AN21)-AN22</f>
        <v/>
      </c>
      <c r="AO23" s="15">
        <f>SUM(AO18:AO21)-AO22</f>
        <v/>
      </c>
      <c r="AP23" s="15">
        <f>SUM(AP18:AP21)-AP22</f>
        <v/>
      </c>
      <c r="AQ23" s="15">
        <f>SUM(AQ18:AQ21)-AQ22</f>
        <v/>
      </c>
      <c r="AR23" s="15">
        <f>SUM(AR18:AR21)-AR22</f>
        <v/>
      </c>
      <c r="AS23" s="15">
        <f>SUM(AS18:AS21)-AS22</f>
        <v/>
      </c>
      <c r="AT23" s="15">
        <f>SUM(AT18:AT21)-AT22</f>
        <v/>
      </c>
      <c r="AU23" s="15">
        <f>SUM(AU18:AU21)-AU22</f>
        <v/>
      </c>
      <c r="AV23" s="15">
        <f>SUM(AV18:AV21)-AV22</f>
        <v/>
      </c>
      <c r="AW23" s="15">
        <f>SUM(AW18:AW21)-AW22</f>
        <v/>
      </c>
      <c r="AX23" s="15">
        <f>SUM(AX18:AX21)-AX22</f>
        <v/>
      </c>
    </row>
    <row r="25">
      <c r="A25" s="11">
        <f>CONCATENATE("ORG: ",Setup!$B$6)</f>
        <v/>
      </c>
      <c r="B25" s="12" t="n"/>
      <c r="C25" s="12" t="n"/>
      <c r="D25" s="12" t="n"/>
      <c r="E25" s="12" t="n"/>
      <c r="F25" s="12" t="n"/>
      <c r="G25" s="12" t="n"/>
      <c r="H25" s="12" t="n"/>
      <c r="I25" s="12" t="n"/>
      <c r="J25" s="12" t="n"/>
      <c r="K25" s="12" t="n"/>
      <c r="L25" s="12" t="n"/>
      <c r="M25" s="12" t="n"/>
      <c r="N25" s="12" t="n"/>
      <c r="O25" s="12" t="n"/>
      <c r="P25" s="12" t="n"/>
      <c r="Q25" s="12" t="n"/>
      <c r="R25" s="12" t="n"/>
      <c r="S25" s="12" t="n"/>
      <c r="T25" s="12" t="n"/>
      <c r="U25" s="12" t="n"/>
      <c r="V25" s="12" t="n"/>
      <c r="W25" s="12" t="n"/>
      <c r="X25" s="12" t="n"/>
      <c r="Y25" s="12" t="n"/>
      <c r="Z25" s="12" t="n"/>
      <c r="AA25" s="12" t="n"/>
      <c r="AB25" s="12" t="n"/>
      <c r="AC25" s="12" t="n"/>
      <c r="AD25" s="12" t="n"/>
      <c r="AE25" s="12" t="n"/>
      <c r="AF25" s="12" t="n"/>
      <c r="AG25" s="12" t="n"/>
      <c r="AH25" s="12" t="n"/>
      <c r="AI25" s="12" t="n"/>
      <c r="AJ25" s="12" t="n"/>
      <c r="AK25" s="12" t="n"/>
      <c r="AL25" s="12" t="n"/>
      <c r="AM25" s="12" t="n"/>
      <c r="AN25" s="12" t="n"/>
      <c r="AO25" s="12" t="n"/>
      <c r="AP25" s="12" t="n"/>
      <c r="AQ25" s="12" t="n"/>
      <c r="AR25" s="12" t="n"/>
      <c r="AS25" s="12" t="n"/>
      <c r="AT25" s="12" t="n"/>
      <c r="AU25" s="12" t="n"/>
      <c r="AV25" s="12" t="n"/>
      <c r="AW25" s="12" t="n"/>
      <c r="AX25" s="12" t="n"/>
    </row>
    <row r="26">
      <c r="A26" t="inlineStr">
        <is>
          <t>India hires (heads)</t>
        </is>
      </c>
      <c r="C26" s="13" t="n">
        <v>7</v>
      </c>
      <c r="D26" s="13" t="n">
        <v>7</v>
      </c>
      <c r="E26" s="13" t="n">
        <v>7</v>
      </c>
      <c r="F26" s="13" t="n">
        <v>7</v>
      </c>
      <c r="G26" s="13" t="n">
        <v>7</v>
      </c>
      <c r="H26" s="13" t="n">
        <v>7</v>
      </c>
      <c r="I26" s="13" t="n">
        <v>7</v>
      </c>
      <c r="J26" s="13" t="n">
        <v>7</v>
      </c>
      <c r="K26" s="13" t="n">
        <v>7</v>
      </c>
      <c r="L26" s="13" t="n">
        <v>7</v>
      </c>
      <c r="M26" s="13" t="n">
        <v>7</v>
      </c>
      <c r="N26" s="13" t="n">
        <v>7</v>
      </c>
      <c r="O26" s="13" t="n">
        <v>12</v>
      </c>
      <c r="P26" s="13" t="n">
        <v>12</v>
      </c>
      <c r="Q26" s="13" t="n">
        <v>12</v>
      </c>
      <c r="R26" s="13" t="n">
        <v>12</v>
      </c>
      <c r="S26" s="13" t="n">
        <v>12</v>
      </c>
      <c r="T26" s="13" t="n">
        <v>12</v>
      </c>
      <c r="U26" s="13" t="n">
        <v>12</v>
      </c>
      <c r="V26" s="13" t="n">
        <v>12</v>
      </c>
      <c r="W26" s="13" t="n">
        <v>12</v>
      </c>
      <c r="X26" s="13" t="n">
        <v>12</v>
      </c>
      <c r="Y26" s="13" t="n">
        <v>12</v>
      </c>
      <c r="Z26" s="13" t="n">
        <v>12</v>
      </c>
      <c r="AA26" s="13" t="n">
        <v>0</v>
      </c>
      <c r="AB26" s="13" t="n">
        <v>0</v>
      </c>
      <c r="AC26" s="13" t="n">
        <v>0</v>
      </c>
      <c r="AD26" s="13" t="n">
        <v>0</v>
      </c>
      <c r="AE26" s="13" t="n">
        <v>0</v>
      </c>
      <c r="AF26" s="13" t="n">
        <v>0</v>
      </c>
      <c r="AG26" s="13" t="n">
        <v>0</v>
      </c>
      <c r="AH26" s="13" t="n">
        <v>0</v>
      </c>
      <c r="AI26" s="13" t="n">
        <v>0</v>
      </c>
      <c r="AJ26" s="13" t="n">
        <v>0</v>
      </c>
      <c r="AK26" s="13" t="n">
        <v>0</v>
      </c>
      <c r="AL26" s="13" t="n">
        <v>0</v>
      </c>
      <c r="AM26" s="13" t="n">
        <v>0</v>
      </c>
      <c r="AN26" s="13" t="n">
        <v>0</v>
      </c>
      <c r="AO26" s="13" t="n">
        <v>0</v>
      </c>
      <c r="AP26" s="13" t="n">
        <v>0</v>
      </c>
      <c r="AQ26" s="13" t="n">
        <v>0</v>
      </c>
      <c r="AR26" s="13" t="n">
        <v>0</v>
      </c>
      <c r="AS26" s="13" t="n">
        <v>0</v>
      </c>
      <c r="AT26" s="13" t="n">
        <v>0</v>
      </c>
      <c r="AU26" s="13" t="n">
        <v>0</v>
      </c>
      <c r="AV26" s="13" t="n">
        <v>0</v>
      </c>
      <c r="AW26" s="13" t="n">
        <v>0</v>
      </c>
      <c r="AX26" s="13" t="n">
        <v>0</v>
      </c>
    </row>
    <row r="27">
      <c r="A27" t="inlineStr">
        <is>
          <t>Reductions — Professional services ($K)</t>
        </is>
      </c>
      <c r="C27" s="14" t="n">
        <v>0</v>
      </c>
      <c r="D27" s="14" t="n">
        <v>0</v>
      </c>
      <c r="E27" s="14" t="n">
        <v>0</v>
      </c>
      <c r="F27" s="14" t="n">
        <v>0</v>
      </c>
      <c r="G27" s="14" t="n">
        <v>30</v>
      </c>
      <c r="H27" s="14" t="n">
        <v>60</v>
      </c>
      <c r="I27" s="14" t="n">
        <v>90</v>
      </c>
      <c r="J27" s="14" t="n">
        <v>120</v>
      </c>
      <c r="K27" s="14" t="n">
        <v>150</v>
      </c>
      <c r="L27" s="14" t="n">
        <v>180</v>
      </c>
      <c r="M27" s="14" t="n">
        <v>210</v>
      </c>
      <c r="N27" s="14" t="n">
        <v>240</v>
      </c>
      <c r="O27" s="14" t="n">
        <v>270</v>
      </c>
      <c r="P27" s="14" t="n">
        <v>300</v>
      </c>
      <c r="Q27" s="14" t="n">
        <v>330</v>
      </c>
      <c r="R27" s="14" t="n">
        <v>360</v>
      </c>
      <c r="S27" s="14" t="n">
        <v>390</v>
      </c>
      <c r="T27" s="14" t="n">
        <v>420</v>
      </c>
      <c r="U27" s="14" t="n">
        <v>450</v>
      </c>
      <c r="V27" s="14" t="n">
        <v>480</v>
      </c>
      <c r="W27" s="14" t="n">
        <v>510</v>
      </c>
      <c r="X27" s="14" t="n">
        <v>540</v>
      </c>
      <c r="Y27" s="14" t="n">
        <v>570</v>
      </c>
      <c r="Z27" s="14" t="n">
        <v>600</v>
      </c>
      <c r="AA27" s="14" t="n">
        <v>630</v>
      </c>
      <c r="AB27" s="14" t="n">
        <v>660</v>
      </c>
      <c r="AC27" s="14" t="n">
        <v>690</v>
      </c>
      <c r="AD27" s="14" t="n">
        <v>720</v>
      </c>
      <c r="AE27" s="14" t="n">
        <v>720</v>
      </c>
      <c r="AF27" s="14" t="n">
        <v>720</v>
      </c>
      <c r="AG27" s="14" t="n">
        <v>720</v>
      </c>
      <c r="AH27" s="14" t="n">
        <v>720</v>
      </c>
      <c r="AI27" s="14" t="n">
        <v>720</v>
      </c>
      <c r="AJ27" s="14" t="n">
        <v>720</v>
      </c>
      <c r="AK27" s="14" t="n">
        <v>720</v>
      </c>
      <c r="AL27" s="14" t="n">
        <v>720</v>
      </c>
      <c r="AM27" s="14" t="n">
        <v>720</v>
      </c>
      <c r="AN27" s="14" t="n">
        <v>720</v>
      </c>
      <c r="AO27" s="14" t="n">
        <v>720</v>
      </c>
      <c r="AP27" s="14" t="n">
        <v>720</v>
      </c>
      <c r="AQ27" s="14" t="n">
        <v>720</v>
      </c>
      <c r="AR27" s="14" t="n">
        <v>720</v>
      </c>
      <c r="AS27" s="14" t="n">
        <v>720</v>
      </c>
      <c r="AT27" s="14" t="n">
        <v>720</v>
      </c>
      <c r="AU27" s="14" t="n">
        <v>720</v>
      </c>
      <c r="AV27" s="14" t="n">
        <v>720</v>
      </c>
      <c r="AW27" s="14" t="n">
        <v>720</v>
      </c>
      <c r="AX27" s="14" t="n">
        <v>720</v>
      </c>
    </row>
    <row r="28">
      <c r="A28" t="inlineStr">
        <is>
          <t>Reductions — Offshore contractors ($K)</t>
        </is>
      </c>
      <c r="C28" s="14" t="n">
        <v>0</v>
      </c>
      <c r="D28" s="14" t="n">
        <v>0</v>
      </c>
      <c r="E28" s="14" t="n">
        <v>0</v>
      </c>
      <c r="F28" s="14" t="n">
        <v>0</v>
      </c>
      <c r="G28" s="14" t="n">
        <v>0</v>
      </c>
      <c r="H28" s="14" t="n">
        <v>0</v>
      </c>
      <c r="I28" s="14" t="n">
        <v>0</v>
      </c>
      <c r="J28" s="14" t="n">
        <v>12</v>
      </c>
      <c r="K28" s="14" t="n">
        <v>24</v>
      </c>
      <c r="L28" s="14" t="n">
        <v>36</v>
      </c>
      <c r="M28" s="14" t="n">
        <v>48</v>
      </c>
      <c r="N28" s="14" t="n">
        <v>60</v>
      </c>
      <c r="O28" s="14" t="n">
        <v>72</v>
      </c>
      <c r="P28" s="14" t="n">
        <v>84</v>
      </c>
      <c r="Q28" s="14" t="n">
        <v>96</v>
      </c>
      <c r="R28" s="14" t="n">
        <v>108</v>
      </c>
      <c r="S28" s="14" t="n">
        <v>120</v>
      </c>
      <c r="T28" s="14" t="n">
        <v>132</v>
      </c>
      <c r="U28" s="14" t="n">
        <v>144</v>
      </c>
      <c r="V28" s="14" t="n">
        <v>156</v>
      </c>
      <c r="W28" s="14" t="n">
        <v>168</v>
      </c>
      <c r="X28" s="14" t="n">
        <v>180</v>
      </c>
      <c r="Y28" s="14" t="n">
        <v>192</v>
      </c>
      <c r="Z28" s="14" t="n">
        <v>204</v>
      </c>
      <c r="AA28" s="14" t="n">
        <v>216</v>
      </c>
      <c r="AB28" s="14" t="n">
        <v>228</v>
      </c>
      <c r="AC28" s="14" t="n">
        <v>240</v>
      </c>
      <c r="AD28" s="14" t="n">
        <v>252</v>
      </c>
      <c r="AE28" s="14" t="n">
        <v>264</v>
      </c>
      <c r="AF28" s="14" t="n">
        <v>276</v>
      </c>
      <c r="AG28" s="14" t="n">
        <v>288</v>
      </c>
      <c r="AH28" s="14" t="n">
        <v>300</v>
      </c>
      <c r="AI28" s="14" t="n">
        <v>300</v>
      </c>
      <c r="AJ28" s="14" t="n">
        <v>300</v>
      </c>
      <c r="AK28" s="14" t="n">
        <v>300</v>
      </c>
      <c r="AL28" s="14" t="n">
        <v>300</v>
      </c>
      <c r="AM28" s="14" t="n">
        <v>300</v>
      </c>
      <c r="AN28" s="14" t="n">
        <v>300</v>
      </c>
      <c r="AO28" s="14" t="n">
        <v>300</v>
      </c>
      <c r="AP28" s="14" t="n">
        <v>300</v>
      </c>
      <c r="AQ28" s="14" t="n">
        <v>300</v>
      </c>
      <c r="AR28" s="14" t="n">
        <v>300</v>
      </c>
      <c r="AS28" s="14" t="n">
        <v>300</v>
      </c>
      <c r="AT28" s="14" t="n">
        <v>300</v>
      </c>
      <c r="AU28" s="14" t="n">
        <v>300</v>
      </c>
      <c r="AV28" s="14" t="n">
        <v>300</v>
      </c>
      <c r="AW28" s="14" t="n">
        <v>300</v>
      </c>
      <c r="AX28" s="14" t="n">
        <v>300</v>
      </c>
    </row>
    <row r="29">
      <c r="A29" t="inlineStr">
        <is>
          <t>Reductions — Onshore contractors ($K)</t>
        </is>
      </c>
      <c r="C29" s="14" t="n">
        <v>0</v>
      </c>
      <c r="D29" s="14" t="n">
        <v>0</v>
      </c>
      <c r="E29" s="14" t="n">
        <v>0</v>
      </c>
      <c r="F29" s="14" t="n">
        <v>0</v>
      </c>
      <c r="G29" s="14" t="n">
        <v>0</v>
      </c>
      <c r="H29" s="14" t="n">
        <v>0</v>
      </c>
      <c r="I29" s="14" t="n">
        <v>0</v>
      </c>
      <c r="J29" s="14" t="n">
        <v>10</v>
      </c>
      <c r="K29" s="14" t="n">
        <v>19</v>
      </c>
      <c r="L29" s="14" t="n">
        <v>29</v>
      </c>
      <c r="M29" s="14" t="n">
        <v>38</v>
      </c>
      <c r="N29" s="14" t="n">
        <v>48</v>
      </c>
      <c r="O29" s="14" t="n">
        <v>58</v>
      </c>
      <c r="P29" s="14" t="n">
        <v>67</v>
      </c>
      <c r="Q29" s="14" t="n">
        <v>77</v>
      </c>
      <c r="R29" s="14" t="n">
        <v>86</v>
      </c>
      <c r="S29" s="14" t="n">
        <v>96</v>
      </c>
      <c r="T29" s="14" t="n">
        <v>106</v>
      </c>
      <c r="U29" s="14" t="n">
        <v>115</v>
      </c>
      <c r="V29" s="14" t="n">
        <v>125</v>
      </c>
      <c r="W29" s="14" t="n">
        <v>134</v>
      </c>
      <c r="X29" s="14" t="n">
        <v>144</v>
      </c>
      <c r="Y29" s="14" t="n">
        <v>154</v>
      </c>
      <c r="Z29" s="14" t="n">
        <v>163</v>
      </c>
      <c r="AA29" s="14" t="n">
        <v>173</v>
      </c>
      <c r="AB29" s="14" t="n">
        <v>182</v>
      </c>
      <c r="AC29" s="14" t="n">
        <v>192</v>
      </c>
      <c r="AD29" s="14" t="n">
        <v>202</v>
      </c>
      <c r="AE29" s="14" t="n">
        <v>211</v>
      </c>
      <c r="AF29" s="14" t="n">
        <v>221</v>
      </c>
      <c r="AG29" s="14" t="n">
        <v>230</v>
      </c>
      <c r="AH29" s="14" t="n">
        <v>240</v>
      </c>
      <c r="AI29" s="14" t="n">
        <v>240</v>
      </c>
      <c r="AJ29" s="14" t="n">
        <v>240</v>
      </c>
      <c r="AK29" s="14" t="n">
        <v>240</v>
      </c>
      <c r="AL29" s="14" t="n">
        <v>240</v>
      </c>
      <c r="AM29" s="14" t="n">
        <v>240</v>
      </c>
      <c r="AN29" s="14" t="n">
        <v>240</v>
      </c>
      <c r="AO29" s="14" t="n">
        <v>240</v>
      </c>
      <c r="AP29" s="14" t="n">
        <v>240</v>
      </c>
      <c r="AQ29" s="14" t="n">
        <v>240</v>
      </c>
      <c r="AR29" s="14" t="n">
        <v>240</v>
      </c>
      <c r="AS29" s="14" t="n">
        <v>240</v>
      </c>
      <c r="AT29" s="14" t="n">
        <v>240</v>
      </c>
      <c r="AU29" s="14" t="n">
        <v>240</v>
      </c>
      <c r="AV29" s="14" t="n">
        <v>240</v>
      </c>
      <c r="AW29" s="14" t="n">
        <v>240</v>
      </c>
      <c r="AX29" s="14" t="n">
        <v>240</v>
      </c>
    </row>
    <row r="30">
      <c r="A30" t="inlineStr">
        <is>
          <t>Reductions — Employees / Other ($K)</t>
        </is>
      </c>
      <c r="C30" s="14" t="n">
        <v>0</v>
      </c>
      <c r="D30" s="14" t="n">
        <v>0</v>
      </c>
      <c r="E30" s="14" t="n">
        <v>0</v>
      </c>
      <c r="F30" s="14" t="n">
        <v>0</v>
      </c>
      <c r="G30" s="14" t="n">
        <v>0</v>
      </c>
      <c r="H30" s="14" t="n">
        <v>0</v>
      </c>
      <c r="I30" s="14" t="n">
        <v>0</v>
      </c>
      <c r="J30" s="14" t="n">
        <v>0</v>
      </c>
      <c r="K30" s="14" t="n">
        <v>0</v>
      </c>
      <c r="L30" s="14" t="n">
        <v>0</v>
      </c>
      <c r="M30" s="14" t="n">
        <v>5</v>
      </c>
      <c r="N30" s="14" t="n">
        <v>10</v>
      </c>
      <c r="O30" s="14" t="n">
        <v>14</v>
      </c>
      <c r="P30" s="14" t="n">
        <v>19</v>
      </c>
      <c r="Q30" s="14" t="n">
        <v>24</v>
      </c>
      <c r="R30" s="14" t="n">
        <v>29</v>
      </c>
      <c r="S30" s="14" t="n">
        <v>34</v>
      </c>
      <c r="T30" s="14" t="n">
        <v>38</v>
      </c>
      <c r="U30" s="14" t="n">
        <v>43</v>
      </c>
      <c r="V30" s="14" t="n">
        <v>48</v>
      </c>
      <c r="W30" s="14" t="n">
        <v>53</v>
      </c>
      <c r="X30" s="14" t="n">
        <v>58</v>
      </c>
      <c r="Y30" s="14" t="n">
        <v>62</v>
      </c>
      <c r="Z30" s="14" t="n">
        <v>67</v>
      </c>
      <c r="AA30" s="14" t="n">
        <v>72</v>
      </c>
      <c r="AB30" s="14" t="n">
        <v>77</v>
      </c>
      <c r="AC30" s="14" t="n">
        <v>82</v>
      </c>
      <c r="AD30" s="14" t="n">
        <v>86</v>
      </c>
      <c r="AE30" s="14" t="n">
        <v>91</v>
      </c>
      <c r="AF30" s="14" t="n">
        <v>96</v>
      </c>
      <c r="AG30" s="14" t="n">
        <v>101</v>
      </c>
      <c r="AH30" s="14" t="n">
        <v>106</v>
      </c>
      <c r="AI30" s="14" t="n">
        <v>110</v>
      </c>
      <c r="AJ30" s="14" t="n">
        <v>115</v>
      </c>
      <c r="AK30" s="14" t="n">
        <v>120</v>
      </c>
      <c r="AL30" s="14" t="n">
        <v>120</v>
      </c>
      <c r="AM30" s="14" t="n">
        <v>120</v>
      </c>
      <c r="AN30" s="14" t="n">
        <v>120</v>
      </c>
      <c r="AO30" s="14" t="n">
        <v>120</v>
      </c>
      <c r="AP30" s="14" t="n">
        <v>120</v>
      </c>
      <c r="AQ30" s="14" t="n">
        <v>120</v>
      </c>
      <c r="AR30" s="14" t="n">
        <v>120</v>
      </c>
      <c r="AS30" s="14" t="n">
        <v>120</v>
      </c>
      <c r="AT30" s="14" t="n">
        <v>120</v>
      </c>
      <c r="AU30" s="14" t="n">
        <v>120</v>
      </c>
      <c r="AV30" s="14" t="n">
        <v>120</v>
      </c>
      <c r="AW30" s="14" t="n">
        <v>120</v>
      </c>
      <c r="AX30" s="14" t="n">
        <v>120</v>
      </c>
    </row>
    <row r="31">
      <c r="A31" t="inlineStr">
        <is>
          <t>India cost adds ($K)</t>
        </is>
      </c>
      <c r="C31" s="14" t="n">
        <v>26</v>
      </c>
      <c r="D31" s="14" t="n">
        <v>52</v>
      </c>
      <c r="E31" s="14" t="n">
        <v>79</v>
      </c>
      <c r="F31" s="14" t="n">
        <v>105</v>
      </c>
      <c r="G31" s="14" t="n">
        <v>131</v>
      </c>
      <c r="H31" s="14" t="n">
        <v>158</v>
      </c>
      <c r="I31" s="14" t="n">
        <v>184</v>
      </c>
      <c r="J31" s="14" t="n">
        <v>210</v>
      </c>
      <c r="K31" s="14" t="n">
        <v>236</v>
      </c>
      <c r="L31" s="14" t="n">
        <v>262</v>
      </c>
      <c r="M31" s="14" t="n">
        <v>289</v>
      </c>
      <c r="N31" s="14" t="n">
        <v>315</v>
      </c>
      <c r="O31" s="14" t="n">
        <v>360</v>
      </c>
      <c r="P31" s="14" t="n">
        <v>405</v>
      </c>
      <c r="Q31" s="14" t="n">
        <v>450</v>
      </c>
      <c r="R31" s="14" t="n">
        <v>495</v>
      </c>
      <c r="S31" s="14" t="n">
        <v>540</v>
      </c>
      <c r="T31" s="14" t="n">
        <v>585</v>
      </c>
      <c r="U31" s="14" t="n">
        <v>630</v>
      </c>
      <c r="V31" s="14" t="n">
        <v>675</v>
      </c>
      <c r="W31" s="14" t="n">
        <v>720</v>
      </c>
      <c r="X31" s="14" t="n">
        <v>765</v>
      </c>
      <c r="Y31" s="14" t="n">
        <v>810</v>
      </c>
      <c r="Z31" s="14" t="n">
        <v>855</v>
      </c>
      <c r="AA31" s="14" t="n">
        <v>855</v>
      </c>
      <c r="AB31" s="14" t="n">
        <v>855</v>
      </c>
      <c r="AC31" s="14" t="n">
        <v>855</v>
      </c>
      <c r="AD31" s="14" t="n">
        <v>855</v>
      </c>
      <c r="AE31" s="14" t="n">
        <v>855</v>
      </c>
      <c r="AF31" s="14" t="n">
        <v>855</v>
      </c>
      <c r="AG31" s="14" t="n">
        <v>855</v>
      </c>
      <c r="AH31" s="14" t="n">
        <v>855</v>
      </c>
      <c r="AI31" s="14" t="n">
        <v>855</v>
      </c>
      <c r="AJ31" s="14" t="n">
        <v>855</v>
      </c>
      <c r="AK31" s="14" t="n">
        <v>855</v>
      </c>
      <c r="AL31" s="14" t="n">
        <v>855</v>
      </c>
      <c r="AM31" s="14" t="n">
        <v>855</v>
      </c>
      <c r="AN31" s="14" t="n">
        <v>855</v>
      </c>
      <c r="AO31" s="14" t="n">
        <v>855</v>
      </c>
      <c r="AP31" s="14" t="n">
        <v>855</v>
      </c>
      <c r="AQ31" s="14" t="n">
        <v>855</v>
      </c>
      <c r="AR31" s="14" t="n">
        <v>855</v>
      </c>
      <c r="AS31" s="14" t="n">
        <v>855</v>
      </c>
      <c r="AT31" s="14" t="n">
        <v>855</v>
      </c>
      <c r="AU31" s="14" t="n">
        <v>855</v>
      </c>
      <c r="AV31" s="14" t="n">
        <v>855</v>
      </c>
      <c r="AW31" s="14" t="n">
        <v>855</v>
      </c>
      <c r="AX31" s="14" t="n">
        <v>855</v>
      </c>
    </row>
    <row r="32">
      <c r="A32" s="8" t="inlineStr">
        <is>
          <t>Net labor arbitrage ($K)</t>
        </is>
      </c>
      <c r="C32" s="15">
        <f>SUM(C27:C30)-C31</f>
        <v/>
      </c>
      <c r="D32" s="15">
        <f>SUM(D27:D30)-D31</f>
        <v/>
      </c>
      <c r="E32" s="15">
        <f>SUM(E27:E30)-E31</f>
        <v/>
      </c>
      <c r="F32" s="15">
        <f>SUM(F27:F30)-F31</f>
        <v/>
      </c>
      <c r="G32" s="15">
        <f>SUM(G27:G30)-G31</f>
        <v/>
      </c>
      <c r="H32" s="15">
        <f>SUM(H27:H30)-H31</f>
        <v/>
      </c>
      <c r="I32" s="15">
        <f>SUM(I27:I30)-I31</f>
        <v/>
      </c>
      <c r="J32" s="15">
        <f>SUM(J27:J30)-J31</f>
        <v/>
      </c>
      <c r="K32" s="15">
        <f>SUM(K27:K30)-K31</f>
        <v/>
      </c>
      <c r="L32" s="15">
        <f>SUM(L27:L30)-L31</f>
        <v/>
      </c>
      <c r="M32" s="15">
        <f>SUM(M27:M30)-M31</f>
        <v/>
      </c>
      <c r="N32" s="15">
        <f>SUM(N27:N30)-N31</f>
        <v/>
      </c>
      <c r="O32" s="15">
        <f>SUM(O27:O30)-O31</f>
        <v/>
      </c>
      <c r="P32" s="15">
        <f>SUM(P27:P30)-P31</f>
        <v/>
      </c>
      <c r="Q32" s="15">
        <f>SUM(Q27:Q30)-Q31</f>
        <v/>
      </c>
      <c r="R32" s="15">
        <f>SUM(R27:R30)-R31</f>
        <v/>
      </c>
      <c r="S32" s="15">
        <f>SUM(S27:S30)-S31</f>
        <v/>
      </c>
      <c r="T32" s="15">
        <f>SUM(T27:T30)-T31</f>
        <v/>
      </c>
      <c r="U32" s="15">
        <f>SUM(U27:U30)-U31</f>
        <v/>
      </c>
      <c r="V32" s="15">
        <f>SUM(V27:V30)-V31</f>
        <v/>
      </c>
      <c r="W32" s="15">
        <f>SUM(W27:W30)-W31</f>
        <v/>
      </c>
      <c r="X32" s="15">
        <f>SUM(X27:X30)-X31</f>
        <v/>
      </c>
      <c r="Y32" s="15">
        <f>SUM(Y27:Y30)-Y31</f>
        <v/>
      </c>
      <c r="Z32" s="15">
        <f>SUM(Z27:Z30)-Z31</f>
        <v/>
      </c>
      <c r="AA32" s="15">
        <f>SUM(AA27:AA30)-AA31</f>
        <v/>
      </c>
      <c r="AB32" s="15">
        <f>SUM(AB27:AB30)-AB31</f>
        <v/>
      </c>
      <c r="AC32" s="15">
        <f>SUM(AC27:AC30)-AC31</f>
        <v/>
      </c>
      <c r="AD32" s="15">
        <f>SUM(AD27:AD30)-AD31</f>
        <v/>
      </c>
      <c r="AE32" s="15">
        <f>SUM(AE27:AE30)-AE31</f>
        <v/>
      </c>
      <c r="AF32" s="15">
        <f>SUM(AF27:AF30)-AF31</f>
        <v/>
      </c>
      <c r="AG32" s="15">
        <f>SUM(AG27:AG30)-AG31</f>
        <v/>
      </c>
      <c r="AH32" s="15">
        <f>SUM(AH27:AH30)-AH31</f>
        <v/>
      </c>
      <c r="AI32" s="15">
        <f>SUM(AI27:AI30)-AI31</f>
        <v/>
      </c>
      <c r="AJ32" s="15">
        <f>SUM(AJ27:AJ30)-AJ31</f>
        <v/>
      </c>
      <c r="AK32" s="15">
        <f>SUM(AK27:AK30)-AK31</f>
        <v/>
      </c>
      <c r="AL32" s="15">
        <f>SUM(AL27:AL30)-AL31</f>
        <v/>
      </c>
      <c r="AM32" s="15">
        <f>SUM(AM27:AM30)-AM31</f>
        <v/>
      </c>
      <c r="AN32" s="15">
        <f>SUM(AN27:AN30)-AN31</f>
        <v/>
      </c>
      <c r="AO32" s="15">
        <f>SUM(AO27:AO30)-AO31</f>
        <v/>
      </c>
      <c r="AP32" s="15">
        <f>SUM(AP27:AP30)-AP31</f>
        <v/>
      </c>
      <c r="AQ32" s="15">
        <f>SUM(AQ27:AQ30)-AQ31</f>
        <v/>
      </c>
      <c r="AR32" s="15">
        <f>SUM(AR27:AR30)-AR31</f>
        <v/>
      </c>
      <c r="AS32" s="15">
        <f>SUM(AS27:AS30)-AS31</f>
        <v/>
      </c>
      <c r="AT32" s="15">
        <f>SUM(AT27:AT30)-AT31</f>
        <v/>
      </c>
      <c r="AU32" s="15">
        <f>SUM(AU27:AU30)-AU31</f>
        <v/>
      </c>
      <c r="AV32" s="15">
        <f>SUM(AV27:AV30)-AV31</f>
        <v/>
      </c>
      <c r="AW32" s="15">
        <f>SUM(AW27:AW30)-AW31</f>
        <v/>
      </c>
      <c r="AX32" s="15">
        <f>SUM(AX27:AX30)-AX31</f>
        <v/>
      </c>
    </row>
    <row r="34">
      <c r="A34" s="11">
        <f>CONCATENATE("ORG: ",Setup!$B$7)</f>
        <v/>
      </c>
      <c r="B34" s="12" t="n"/>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row>
    <row r="35">
      <c r="A35" t="inlineStr">
        <is>
          <t>India hires (heads)</t>
        </is>
      </c>
      <c r="C35" s="13" t="n">
        <v>7</v>
      </c>
      <c r="D35" s="13" t="n">
        <v>7</v>
      </c>
      <c r="E35" s="13" t="n">
        <v>7</v>
      </c>
      <c r="F35" s="13" t="n">
        <v>7</v>
      </c>
      <c r="G35" s="13" t="n">
        <v>7</v>
      </c>
      <c r="H35" s="13" t="n">
        <v>7</v>
      </c>
      <c r="I35" s="13" t="n">
        <v>7</v>
      </c>
      <c r="J35" s="13" t="n">
        <v>7</v>
      </c>
      <c r="K35" s="13" t="n">
        <v>7</v>
      </c>
      <c r="L35" s="13" t="n">
        <v>7</v>
      </c>
      <c r="M35" s="13" t="n">
        <v>7</v>
      </c>
      <c r="N35" s="13" t="n">
        <v>7</v>
      </c>
      <c r="O35" s="13" t="n">
        <v>11</v>
      </c>
      <c r="P35" s="13" t="n">
        <v>11</v>
      </c>
      <c r="Q35" s="13" t="n">
        <v>11</v>
      </c>
      <c r="R35" s="13" t="n">
        <v>11</v>
      </c>
      <c r="S35" s="13" t="n">
        <v>11</v>
      </c>
      <c r="T35" s="13" t="n">
        <v>11</v>
      </c>
      <c r="U35" s="13" t="n">
        <v>11</v>
      </c>
      <c r="V35" s="13" t="n">
        <v>11</v>
      </c>
      <c r="W35" s="13" t="n">
        <v>11</v>
      </c>
      <c r="X35" s="13" t="n">
        <v>11</v>
      </c>
      <c r="Y35" s="13" t="n">
        <v>11</v>
      </c>
      <c r="Z35" s="13" t="n">
        <v>11</v>
      </c>
      <c r="AA35" s="13" t="n">
        <v>0</v>
      </c>
      <c r="AB35" s="13" t="n">
        <v>0</v>
      </c>
      <c r="AC35" s="13" t="n">
        <v>0</v>
      </c>
      <c r="AD35" s="13" t="n">
        <v>0</v>
      </c>
      <c r="AE35" s="13" t="n">
        <v>0</v>
      </c>
      <c r="AF35" s="13" t="n">
        <v>0</v>
      </c>
      <c r="AG35" s="13" t="n">
        <v>0</v>
      </c>
      <c r="AH35" s="13" t="n">
        <v>0</v>
      </c>
      <c r="AI35" s="13" t="n">
        <v>0</v>
      </c>
      <c r="AJ35" s="13" t="n">
        <v>0</v>
      </c>
      <c r="AK35" s="13" t="n">
        <v>0</v>
      </c>
      <c r="AL35" s="13" t="n">
        <v>0</v>
      </c>
      <c r="AM35" s="13" t="n">
        <v>0</v>
      </c>
      <c r="AN35" s="13" t="n">
        <v>0</v>
      </c>
      <c r="AO35" s="13" t="n">
        <v>0</v>
      </c>
      <c r="AP35" s="13" t="n">
        <v>0</v>
      </c>
      <c r="AQ35" s="13" t="n">
        <v>0</v>
      </c>
      <c r="AR35" s="13" t="n">
        <v>0</v>
      </c>
      <c r="AS35" s="13" t="n">
        <v>0</v>
      </c>
      <c r="AT35" s="13" t="n">
        <v>0</v>
      </c>
      <c r="AU35" s="13" t="n">
        <v>0</v>
      </c>
      <c r="AV35" s="13" t="n">
        <v>0</v>
      </c>
      <c r="AW35" s="13" t="n">
        <v>0</v>
      </c>
      <c r="AX35" s="13" t="n">
        <v>0</v>
      </c>
    </row>
    <row r="36">
      <c r="A36" t="inlineStr">
        <is>
          <t>Reductions — Professional services ($K)</t>
        </is>
      </c>
      <c r="C36" s="14" t="n">
        <v>0</v>
      </c>
      <c r="D36" s="14" t="n">
        <v>0</v>
      </c>
      <c r="E36" s="14" t="n">
        <v>0</v>
      </c>
      <c r="F36" s="14" t="n">
        <v>0</v>
      </c>
      <c r="G36" s="14" t="n">
        <v>28</v>
      </c>
      <c r="H36" s="14" t="n">
        <v>55</v>
      </c>
      <c r="I36" s="14" t="n">
        <v>82</v>
      </c>
      <c r="J36" s="14" t="n">
        <v>110</v>
      </c>
      <c r="K36" s="14" t="n">
        <v>138</v>
      </c>
      <c r="L36" s="14" t="n">
        <v>165</v>
      </c>
      <c r="M36" s="14" t="n">
        <v>193</v>
      </c>
      <c r="N36" s="14" t="n">
        <v>220</v>
      </c>
      <c r="O36" s="14" t="n">
        <v>248</v>
      </c>
      <c r="P36" s="14" t="n">
        <v>275</v>
      </c>
      <c r="Q36" s="14" t="n">
        <v>302</v>
      </c>
      <c r="R36" s="14" t="n">
        <v>330</v>
      </c>
      <c r="S36" s="14" t="n">
        <v>358</v>
      </c>
      <c r="T36" s="14" t="n">
        <v>385</v>
      </c>
      <c r="U36" s="14" t="n">
        <v>413</v>
      </c>
      <c r="V36" s="14" t="n">
        <v>440</v>
      </c>
      <c r="W36" s="14" t="n">
        <v>468</v>
      </c>
      <c r="X36" s="14" t="n">
        <v>495</v>
      </c>
      <c r="Y36" s="14" t="n">
        <v>522</v>
      </c>
      <c r="Z36" s="14" t="n">
        <v>550</v>
      </c>
      <c r="AA36" s="14" t="n">
        <v>578</v>
      </c>
      <c r="AB36" s="14" t="n">
        <v>605</v>
      </c>
      <c r="AC36" s="14" t="n">
        <v>632</v>
      </c>
      <c r="AD36" s="14" t="n">
        <v>660</v>
      </c>
      <c r="AE36" s="14" t="n">
        <v>660</v>
      </c>
      <c r="AF36" s="14" t="n">
        <v>660</v>
      </c>
      <c r="AG36" s="14" t="n">
        <v>660</v>
      </c>
      <c r="AH36" s="14" t="n">
        <v>660</v>
      </c>
      <c r="AI36" s="14" t="n">
        <v>660</v>
      </c>
      <c r="AJ36" s="14" t="n">
        <v>660</v>
      </c>
      <c r="AK36" s="14" t="n">
        <v>660</v>
      </c>
      <c r="AL36" s="14" t="n">
        <v>660</v>
      </c>
      <c r="AM36" s="14" t="n">
        <v>660</v>
      </c>
      <c r="AN36" s="14" t="n">
        <v>660</v>
      </c>
      <c r="AO36" s="14" t="n">
        <v>660</v>
      </c>
      <c r="AP36" s="14" t="n">
        <v>660</v>
      </c>
      <c r="AQ36" s="14" t="n">
        <v>660</v>
      </c>
      <c r="AR36" s="14" t="n">
        <v>660</v>
      </c>
      <c r="AS36" s="14" t="n">
        <v>660</v>
      </c>
      <c r="AT36" s="14" t="n">
        <v>660</v>
      </c>
      <c r="AU36" s="14" t="n">
        <v>660</v>
      </c>
      <c r="AV36" s="14" t="n">
        <v>660</v>
      </c>
      <c r="AW36" s="14" t="n">
        <v>660</v>
      </c>
      <c r="AX36" s="14" t="n">
        <v>660</v>
      </c>
    </row>
    <row r="37">
      <c r="A37" t="inlineStr">
        <is>
          <t>Reductions — Offshore contractors ($K)</t>
        </is>
      </c>
      <c r="C37" s="14" t="n">
        <v>0</v>
      </c>
      <c r="D37" s="14" t="n">
        <v>0</v>
      </c>
      <c r="E37" s="14" t="n">
        <v>0</v>
      </c>
      <c r="F37" s="14" t="n">
        <v>0</v>
      </c>
      <c r="G37" s="14" t="n">
        <v>0</v>
      </c>
      <c r="H37" s="14" t="n">
        <v>0</v>
      </c>
      <c r="I37" s="14" t="n">
        <v>0</v>
      </c>
      <c r="J37" s="14" t="n">
        <v>11</v>
      </c>
      <c r="K37" s="14" t="n">
        <v>22</v>
      </c>
      <c r="L37" s="14" t="n">
        <v>33</v>
      </c>
      <c r="M37" s="14" t="n">
        <v>44</v>
      </c>
      <c r="N37" s="14" t="n">
        <v>55</v>
      </c>
      <c r="O37" s="14" t="n">
        <v>66</v>
      </c>
      <c r="P37" s="14" t="n">
        <v>77</v>
      </c>
      <c r="Q37" s="14" t="n">
        <v>88</v>
      </c>
      <c r="R37" s="14" t="n">
        <v>99</v>
      </c>
      <c r="S37" s="14" t="n">
        <v>110</v>
      </c>
      <c r="T37" s="14" t="n">
        <v>121</v>
      </c>
      <c r="U37" s="14" t="n">
        <v>132</v>
      </c>
      <c r="V37" s="14" t="n">
        <v>143</v>
      </c>
      <c r="W37" s="14" t="n">
        <v>154</v>
      </c>
      <c r="X37" s="14" t="n">
        <v>165</v>
      </c>
      <c r="Y37" s="14" t="n">
        <v>176</v>
      </c>
      <c r="Z37" s="14" t="n">
        <v>187</v>
      </c>
      <c r="AA37" s="14" t="n">
        <v>198</v>
      </c>
      <c r="AB37" s="14" t="n">
        <v>209</v>
      </c>
      <c r="AC37" s="14" t="n">
        <v>220</v>
      </c>
      <c r="AD37" s="14" t="n">
        <v>231</v>
      </c>
      <c r="AE37" s="14" t="n">
        <v>242</v>
      </c>
      <c r="AF37" s="14" t="n">
        <v>253</v>
      </c>
      <c r="AG37" s="14" t="n">
        <v>264</v>
      </c>
      <c r="AH37" s="14" t="n">
        <v>275</v>
      </c>
      <c r="AI37" s="14" t="n">
        <v>275</v>
      </c>
      <c r="AJ37" s="14" t="n">
        <v>275</v>
      </c>
      <c r="AK37" s="14" t="n">
        <v>275</v>
      </c>
      <c r="AL37" s="14" t="n">
        <v>275</v>
      </c>
      <c r="AM37" s="14" t="n">
        <v>275</v>
      </c>
      <c r="AN37" s="14" t="n">
        <v>275</v>
      </c>
      <c r="AO37" s="14" t="n">
        <v>275</v>
      </c>
      <c r="AP37" s="14" t="n">
        <v>275</v>
      </c>
      <c r="AQ37" s="14" t="n">
        <v>275</v>
      </c>
      <c r="AR37" s="14" t="n">
        <v>275</v>
      </c>
      <c r="AS37" s="14" t="n">
        <v>275</v>
      </c>
      <c r="AT37" s="14" t="n">
        <v>275</v>
      </c>
      <c r="AU37" s="14" t="n">
        <v>275</v>
      </c>
      <c r="AV37" s="14" t="n">
        <v>275</v>
      </c>
      <c r="AW37" s="14" t="n">
        <v>275</v>
      </c>
      <c r="AX37" s="14" t="n">
        <v>275</v>
      </c>
    </row>
    <row r="38">
      <c r="A38" t="inlineStr">
        <is>
          <t>Reductions — Onshore contractors ($K)</t>
        </is>
      </c>
      <c r="C38" s="14" t="n">
        <v>0</v>
      </c>
      <c r="D38" s="14" t="n">
        <v>0</v>
      </c>
      <c r="E38" s="14" t="n">
        <v>0</v>
      </c>
      <c r="F38" s="14" t="n">
        <v>0</v>
      </c>
      <c r="G38" s="14" t="n">
        <v>0</v>
      </c>
      <c r="H38" s="14" t="n">
        <v>0</v>
      </c>
      <c r="I38" s="14" t="n">
        <v>0</v>
      </c>
      <c r="J38" s="14" t="n">
        <v>9</v>
      </c>
      <c r="K38" s="14" t="n">
        <v>18</v>
      </c>
      <c r="L38" s="14" t="n">
        <v>26</v>
      </c>
      <c r="M38" s="14" t="n">
        <v>35</v>
      </c>
      <c r="N38" s="14" t="n">
        <v>44</v>
      </c>
      <c r="O38" s="14" t="n">
        <v>53</v>
      </c>
      <c r="P38" s="14" t="n">
        <v>62</v>
      </c>
      <c r="Q38" s="14" t="n">
        <v>70</v>
      </c>
      <c r="R38" s="14" t="n">
        <v>79</v>
      </c>
      <c r="S38" s="14" t="n">
        <v>88</v>
      </c>
      <c r="T38" s="14" t="n">
        <v>97</v>
      </c>
      <c r="U38" s="14" t="n">
        <v>106</v>
      </c>
      <c r="V38" s="14" t="n">
        <v>114</v>
      </c>
      <c r="W38" s="14" t="n">
        <v>123</v>
      </c>
      <c r="X38" s="14" t="n">
        <v>132</v>
      </c>
      <c r="Y38" s="14" t="n">
        <v>141</v>
      </c>
      <c r="Z38" s="14" t="n">
        <v>150</v>
      </c>
      <c r="AA38" s="14" t="n">
        <v>158</v>
      </c>
      <c r="AB38" s="14" t="n">
        <v>167</v>
      </c>
      <c r="AC38" s="14" t="n">
        <v>176</v>
      </c>
      <c r="AD38" s="14" t="n">
        <v>185</v>
      </c>
      <c r="AE38" s="14" t="n">
        <v>194</v>
      </c>
      <c r="AF38" s="14" t="n">
        <v>202</v>
      </c>
      <c r="AG38" s="14" t="n">
        <v>211</v>
      </c>
      <c r="AH38" s="14" t="n">
        <v>220</v>
      </c>
      <c r="AI38" s="14" t="n">
        <v>220</v>
      </c>
      <c r="AJ38" s="14" t="n">
        <v>220</v>
      </c>
      <c r="AK38" s="14" t="n">
        <v>220</v>
      </c>
      <c r="AL38" s="14" t="n">
        <v>220</v>
      </c>
      <c r="AM38" s="14" t="n">
        <v>220</v>
      </c>
      <c r="AN38" s="14" t="n">
        <v>220</v>
      </c>
      <c r="AO38" s="14" t="n">
        <v>220</v>
      </c>
      <c r="AP38" s="14" t="n">
        <v>220</v>
      </c>
      <c r="AQ38" s="14" t="n">
        <v>220</v>
      </c>
      <c r="AR38" s="14" t="n">
        <v>220</v>
      </c>
      <c r="AS38" s="14" t="n">
        <v>220</v>
      </c>
      <c r="AT38" s="14" t="n">
        <v>220</v>
      </c>
      <c r="AU38" s="14" t="n">
        <v>220</v>
      </c>
      <c r="AV38" s="14" t="n">
        <v>220</v>
      </c>
      <c r="AW38" s="14" t="n">
        <v>220</v>
      </c>
      <c r="AX38" s="14" t="n">
        <v>220</v>
      </c>
    </row>
    <row r="39">
      <c r="A39" t="inlineStr">
        <is>
          <t>Reductions — Employees / Other ($K)</t>
        </is>
      </c>
      <c r="C39" s="14" t="n">
        <v>0</v>
      </c>
      <c r="D39" s="14" t="n">
        <v>0</v>
      </c>
      <c r="E39" s="14" t="n">
        <v>0</v>
      </c>
      <c r="F39" s="14" t="n">
        <v>0</v>
      </c>
      <c r="G39" s="14" t="n">
        <v>0</v>
      </c>
      <c r="H39" s="14" t="n">
        <v>0</v>
      </c>
      <c r="I39" s="14" t="n">
        <v>0</v>
      </c>
      <c r="J39" s="14" t="n">
        <v>0</v>
      </c>
      <c r="K39" s="14" t="n">
        <v>0</v>
      </c>
      <c r="L39" s="14" t="n">
        <v>0</v>
      </c>
      <c r="M39" s="14" t="n">
        <v>4</v>
      </c>
      <c r="N39" s="14" t="n">
        <v>9</v>
      </c>
      <c r="O39" s="14" t="n">
        <v>13</v>
      </c>
      <c r="P39" s="14" t="n">
        <v>18</v>
      </c>
      <c r="Q39" s="14" t="n">
        <v>22</v>
      </c>
      <c r="R39" s="14" t="n">
        <v>26</v>
      </c>
      <c r="S39" s="14" t="n">
        <v>31</v>
      </c>
      <c r="T39" s="14" t="n">
        <v>35</v>
      </c>
      <c r="U39" s="14" t="n">
        <v>40</v>
      </c>
      <c r="V39" s="14" t="n">
        <v>44</v>
      </c>
      <c r="W39" s="14" t="n">
        <v>48</v>
      </c>
      <c r="X39" s="14" t="n">
        <v>53</v>
      </c>
      <c r="Y39" s="14" t="n">
        <v>57</v>
      </c>
      <c r="Z39" s="14" t="n">
        <v>62</v>
      </c>
      <c r="AA39" s="14" t="n">
        <v>66</v>
      </c>
      <c r="AB39" s="14" t="n">
        <v>70</v>
      </c>
      <c r="AC39" s="14" t="n">
        <v>75</v>
      </c>
      <c r="AD39" s="14" t="n">
        <v>79</v>
      </c>
      <c r="AE39" s="14" t="n">
        <v>84</v>
      </c>
      <c r="AF39" s="14" t="n">
        <v>88</v>
      </c>
      <c r="AG39" s="14" t="n">
        <v>92</v>
      </c>
      <c r="AH39" s="14" t="n">
        <v>97</v>
      </c>
      <c r="AI39" s="14" t="n">
        <v>101</v>
      </c>
      <c r="AJ39" s="14" t="n">
        <v>106</v>
      </c>
      <c r="AK39" s="14" t="n">
        <v>110</v>
      </c>
      <c r="AL39" s="14" t="n">
        <v>110</v>
      </c>
      <c r="AM39" s="14" t="n">
        <v>110</v>
      </c>
      <c r="AN39" s="14" t="n">
        <v>110</v>
      </c>
      <c r="AO39" s="14" t="n">
        <v>110</v>
      </c>
      <c r="AP39" s="14" t="n">
        <v>110</v>
      </c>
      <c r="AQ39" s="14" t="n">
        <v>110</v>
      </c>
      <c r="AR39" s="14" t="n">
        <v>110</v>
      </c>
      <c r="AS39" s="14" t="n">
        <v>110</v>
      </c>
      <c r="AT39" s="14" t="n">
        <v>110</v>
      </c>
      <c r="AU39" s="14" t="n">
        <v>110</v>
      </c>
      <c r="AV39" s="14" t="n">
        <v>110</v>
      </c>
      <c r="AW39" s="14" t="n">
        <v>110</v>
      </c>
      <c r="AX39" s="14" t="n">
        <v>110</v>
      </c>
    </row>
    <row r="40">
      <c r="A40" t="inlineStr">
        <is>
          <t>India cost adds ($K)</t>
        </is>
      </c>
      <c r="C40" s="14" t="n">
        <v>26</v>
      </c>
      <c r="D40" s="14" t="n">
        <v>52</v>
      </c>
      <c r="E40" s="14" t="n">
        <v>79</v>
      </c>
      <c r="F40" s="14" t="n">
        <v>105</v>
      </c>
      <c r="G40" s="14" t="n">
        <v>131</v>
      </c>
      <c r="H40" s="14" t="n">
        <v>158</v>
      </c>
      <c r="I40" s="14" t="n">
        <v>184</v>
      </c>
      <c r="J40" s="14" t="n">
        <v>210</v>
      </c>
      <c r="K40" s="14" t="n">
        <v>236</v>
      </c>
      <c r="L40" s="14" t="n">
        <v>262</v>
      </c>
      <c r="M40" s="14" t="n">
        <v>289</v>
      </c>
      <c r="N40" s="14" t="n">
        <v>315</v>
      </c>
      <c r="O40" s="14" t="n">
        <v>356</v>
      </c>
      <c r="P40" s="14" t="n">
        <v>398</v>
      </c>
      <c r="Q40" s="14" t="n">
        <v>439</v>
      </c>
      <c r="R40" s="14" t="n">
        <v>480</v>
      </c>
      <c r="S40" s="14" t="n">
        <v>521</v>
      </c>
      <c r="T40" s="14" t="n">
        <v>562</v>
      </c>
      <c r="U40" s="14" t="n">
        <v>604</v>
      </c>
      <c r="V40" s="14" t="n">
        <v>645</v>
      </c>
      <c r="W40" s="14" t="n">
        <v>686</v>
      </c>
      <c r="X40" s="14" t="n">
        <v>728</v>
      </c>
      <c r="Y40" s="14" t="n">
        <v>769</v>
      </c>
      <c r="Z40" s="14" t="n">
        <v>810</v>
      </c>
      <c r="AA40" s="14" t="n">
        <v>810</v>
      </c>
      <c r="AB40" s="14" t="n">
        <v>810</v>
      </c>
      <c r="AC40" s="14" t="n">
        <v>810</v>
      </c>
      <c r="AD40" s="14" t="n">
        <v>810</v>
      </c>
      <c r="AE40" s="14" t="n">
        <v>810</v>
      </c>
      <c r="AF40" s="14" t="n">
        <v>810</v>
      </c>
      <c r="AG40" s="14" t="n">
        <v>810</v>
      </c>
      <c r="AH40" s="14" t="n">
        <v>810</v>
      </c>
      <c r="AI40" s="14" t="n">
        <v>810</v>
      </c>
      <c r="AJ40" s="14" t="n">
        <v>810</v>
      </c>
      <c r="AK40" s="14" t="n">
        <v>810</v>
      </c>
      <c r="AL40" s="14" t="n">
        <v>810</v>
      </c>
      <c r="AM40" s="14" t="n">
        <v>810</v>
      </c>
      <c r="AN40" s="14" t="n">
        <v>810</v>
      </c>
      <c r="AO40" s="14" t="n">
        <v>810</v>
      </c>
      <c r="AP40" s="14" t="n">
        <v>810</v>
      </c>
      <c r="AQ40" s="14" t="n">
        <v>810</v>
      </c>
      <c r="AR40" s="14" t="n">
        <v>810</v>
      </c>
      <c r="AS40" s="14" t="n">
        <v>810</v>
      </c>
      <c r="AT40" s="14" t="n">
        <v>810</v>
      </c>
      <c r="AU40" s="14" t="n">
        <v>810</v>
      </c>
      <c r="AV40" s="14" t="n">
        <v>810</v>
      </c>
      <c r="AW40" s="14" t="n">
        <v>810</v>
      </c>
      <c r="AX40" s="14" t="n">
        <v>810</v>
      </c>
    </row>
    <row r="41">
      <c r="A41" s="8" t="inlineStr">
        <is>
          <t>Net labor arbitrage ($K)</t>
        </is>
      </c>
      <c r="C41" s="15">
        <f>SUM(C36:C39)-C40</f>
        <v/>
      </c>
      <c r="D41" s="15">
        <f>SUM(D36:D39)-D40</f>
        <v/>
      </c>
      <c r="E41" s="15">
        <f>SUM(E36:E39)-E40</f>
        <v/>
      </c>
      <c r="F41" s="15">
        <f>SUM(F36:F39)-F40</f>
        <v/>
      </c>
      <c r="G41" s="15">
        <f>SUM(G36:G39)-G40</f>
        <v/>
      </c>
      <c r="H41" s="15">
        <f>SUM(H36:H39)-H40</f>
        <v/>
      </c>
      <c r="I41" s="15">
        <f>SUM(I36:I39)-I40</f>
        <v/>
      </c>
      <c r="J41" s="15">
        <f>SUM(J36:J39)-J40</f>
        <v/>
      </c>
      <c r="K41" s="15">
        <f>SUM(K36:K39)-K40</f>
        <v/>
      </c>
      <c r="L41" s="15">
        <f>SUM(L36:L39)-L40</f>
        <v/>
      </c>
      <c r="M41" s="15">
        <f>SUM(M36:M39)-M40</f>
        <v/>
      </c>
      <c r="N41" s="15">
        <f>SUM(N36:N39)-N40</f>
        <v/>
      </c>
      <c r="O41" s="15">
        <f>SUM(O36:O39)-O40</f>
        <v/>
      </c>
      <c r="P41" s="15">
        <f>SUM(P36:P39)-P40</f>
        <v/>
      </c>
      <c r="Q41" s="15">
        <f>SUM(Q36:Q39)-Q40</f>
        <v/>
      </c>
      <c r="R41" s="15">
        <f>SUM(R36:R39)-R40</f>
        <v/>
      </c>
      <c r="S41" s="15">
        <f>SUM(S36:S39)-S40</f>
        <v/>
      </c>
      <c r="T41" s="15">
        <f>SUM(T36:T39)-T40</f>
        <v/>
      </c>
      <c r="U41" s="15">
        <f>SUM(U36:U39)-U40</f>
        <v/>
      </c>
      <c r="V41" s="15">
        <f>SUM(V36:V39)-V40</f>
        <v/>
      </c>
      <c r="W41" s="15">
        <f>SUM(W36:W39)-W40</f>
        <v/>
      </c>
      <c r="X41" s="15">
        <f>SUM(X36:X39)-X40</f>
        <v/>
      </c>
      <c r="Y41" s="15">
        <f>SUM(Y36:Y39)-Y40</f>
        <v/>
      </c>
      <c r="Z41" s="15">
        <f>SUM(Z36:Z39)-Z40</f>
        <v/>
      </c>
      <c r="AA41" s="15">
        <f>SUM(AA36:AA39)-AA40</f>
        <v/>
      </c>
      <c r="AB41" s="15">
        <f>SUM(AB36:AB39)-AB40</f>
        <v/>
      </c>
      <c r="AC41" s="15">
        <f>SUM(AC36:AC39)-AC40</f>
        <v/>
      </c>
      <c r="AD41" s="15">
        <f>SUM(AD36:AD39)-AD40</f>
        <v/>
      </c>
      <c r="AE41" s="15">
        <f>SUM(AE36:AE39)-AE40</f>
        <v/>
      </c>
      <c r="AF41" s="15">
        <f>SUM(AF36:AF39)-AF40</f>
        <v/>
      </c>
      <c r="AG41" s="15">
        <f>SUM(AG36:AG39)-AG40</f>
        <v/>
      </c>
      <c r="AH41" s="15">
        <f>SUM(AH36:AH39)-AH40</f>
        <v/>
      </c>
      <c r="AI41" s="15">
        <f>SUM(AI36:AI39)-AI40</f>
        <v/>
      </c>
      <c r="AJ41" s="15">
        <f>SUM(AJ36:AJ39)-AJ40</f>
        <v/>
      </c>
      <c r="AK41" s="15">
        <f>SUM(AK36:AK39)-AK40</f>
        <v/>
      </c>
      <c r="AL41" s="15">
        <f>SUM(AL36:AL39)-AL40</f>
        <v/>
      </c>
      <c r="AM41" s="15">
        <f>SUM(AM36:AM39)-AM40</f>
        <v/>
      </c>
      <c r="AN41" s="15">
        <f>SUM(AN36:AN39)-AN40</f>
        <v/>
      </c>
      <c r="AO41" s="15">
        <f>SUM(AO36:AO39)-AO40</f>
        <v/>
      </c>
      <c r="AP41" s="15">
        <f>SUM(AP36:AP39)-AP40</f>
        <v/>
      </c>
      <c r="AQ41" s="15">
        <f>SUM(AQ36:AQ39)-AQ40</f>
        <v/>
      </c>
      <c r="AR41" s="15">
        <f>SUM(AR36:AR39)-AR40</f>
        <v/>
      </c>
      <c r="AS41" s="15">
        <f>SUM(AS36:AS39)-AS40</f>
        <v/>
      </c>
      <c r="AT41" s="15">
        <f>SUM(AT36:AT39)-AT40</f>
        <v/>
      </c>
      <c r="AU41" s="15">
        <f>SUM(AU36:AU39)-AU40</f>
        <v/>
      </c>
      <c r="AV41" s="15">
        <f>SUM(AV36:AV39)-AV40</f>
        <v/>
      </c>
      <c r="AW41" s="15">
        <f>SUM(AW36:AW39)-AW40</f>
        <v/>
      </c>
      <c r="AX41" s="15">
        <f>SUM(AX36:AX39)-AX40</f>
        <v/>
      </c>
    </row>
    <row r="43">
      <c r="A43" s="11">
        <f>CONCATENATE("ORG: ",Setup!$B$8)</f>
        <v/>
      </c>
      <c r="B43" s="12" t="n"/>
      <c r="C43" s="12" t="n"/>
      <c r="D43" s="12" t="n"/>
      <c r="E43" s="12" t="n"/>
      <c r="F43" s="12" t="n"/>
      <c r="G43" s="12" t="n"/>
      <c r="H43" s="12" t="n"/>
      <c r="I43" s="12" t="n"/>
      <c r="J43" s="12" t="n"/>
      <c r="K43" s="12" t="n"/>
      <c r="L43" s="12" t="n"/>
      <c r="M43" s="12" t="n"/>
      <c r="N43" s="12" t="n"/>
      <c r="O43" s="12" t="n"/>
      <c r="P43" s="12" t="n"/>
      <c r="Q43" s="12" t="n"/>
      <c r="R43" s="12" t="n"/>
      <c r="S43" s="12" t="n"/>
      <c r="T43" s="12" t="n"/>
      <c r="U43" s="12" t="n"/>
      <c r="V43" s="12" t="n"/>
      <c r="W43" s="12" t="n"/>
      <c r="X43" s="12" t="n"/>
      <c r="Y43" s="12" t="n"/>
      <c r="Z43" s="12" t="n"/>
      <c r="AA43" s="12" t="n"/>
      <c r="AB43" s="12" t="n"/>
      <c r="AC43" s="12" t="n"/>
      <c r="AD43" s="12" t="n"/>
      <c r="AE43" s="12" t="n"/>
      <c r="AF43" s="12" t="n"/>
      <c r="AG43" s="12" t="n"/>
      <c r="AH43" s="12" t="n"/>
      <c r="AI43" s="12" t="n"/>
      <c r="AJ43" s="12" t="n"/>
      <c r="AK43" s="12" t="n"/>
      <c r="AL43" s="12" t="n"/>
      <c r="AM43" s="12" t="n"/>
      <c r="AN43" s="12" t="n"/>
      <c r="AO43" s="12" t="n"/>
      <c r="AP43" s="12" t="n"/>
      <c r="AQ43" s="12" t="n"/>
      <c r="AR43" s="12" t="n"/>
      <c r="AS43" s="12" t="n"/>
      <c r="AT43" s="12" t="n"/>
      <c r="AU43" s="12" t="n"/>
      <c r="AV43" s="12" t="n"/>
      <c r="AW43" s="12" t="n"/>
      <c r="AX43" s="12" t="n"/>
    </row>
    <row r="44">
      <c r="A44" t="inlineStr">
        <is>
          <t>India hires (heads)</t>
        </is>
      </c>
      <c r="C44" s="13" t="n">
        <v>6</v>
      </c>
      <c r="D44" s="13" t="n">
        <v>6</v>
      </c>
      <c r="E44" s="13" t="n">
        <v>6</v>
      </c>
      <c r="F44" s="13" t="n">
        <v>6</v>
      </c>
      <c r="G44" s="13" t="n">
        <v>6</v>
      </c>
      <c r="H44" s="13" t="n">
        <v>6</v>
      </c>
      <c r="I44" s="13" t="n">
        <v>6</v>
      </c>
      <c r="J44" s="13" t="n">
        <v>6</v>
      </c>
      <c r="K44" s="13" t="n">
        <v>6</v>
      </c>
      <c r="L44" s="13" t="n">
        <v>6</v>
      </c>
      <c r="M44" s="13" t="n">
        <v>6</v>
      </c>
      <c r="N44" s="13" t="n">
        <v>6</v>
      </c>
      <c r="O44" s="13" t="n">
        <v>10</v>
      </c>
      <c r="P44" s="13" t="n">
        <v>10</v>
      </c>
      <c r="Q44" s="13" t="n">
        <v>10</v>
      </c>
      <c r="R44" s="13" t="n">
        <v>10</v>
      </c>
      <c r="S44" s="13" t="n">
        <v>10</v>
      </c>
      <c r="T44" s="13" t="n">
        <v>10</v>
      </c>
      <c r="U44" s="13" t="n">
        <v>10</v>
      </c>
      <c r="V44" s="13" t="n">
        <v>10</v>
      </c>
      <c r="W44" s="13" t="n">
        <v>10</v>
      </c>
      <c r="X44" s="13" t="n">
        <v>10</v>
      </c>
      <c r="Y44" s="13" t="n">
        <v>10</v>
      </c>
      <c r="Z44" s="13" t="n">
        <v>10</v>
      </c>
      <c r="AA44" s="13" t="n">
        <v>0</v>
      </c>
      <c r="AB44" s="13" t="n">
        <v>0</v>
      </c>
      <c r="AC44" s="13" t="n">
        <v>0</v>
      </c>
      <c r="AD44" s="13" t="n">
        <v>0</v>
      </c>
      <c r="AE44" s="13" t="n">
        <v>0</v>
      </c>
      <c r="AF44" s="13" t="n">
        <v>0</v>
      </c>
      <c r="AG44" s="13" t="n">
        <v>0</v>
      </c>
      <c r="AH44" s="13" t="n">
        <v>0</v>
      </c>
      <c r="AI44" s="13" t="n">
        <v>0</v>
      </c>
      <c r="AJ44" s="13" t="n">
        <v>0</v>
      </c>
      <c r="AK44" s="13" t="n">
        <v>0</v>
      </c>
      <c r="AL44" s="13" t="n">
        <v>0</v>
      </c>
      <c r="AM44" s="13" t="n">
        <v>0</v>
      </c>
      <c r="AN44" s="13" t="n">
        <v>0</v>
      </c>
      <c r="AO44" s="13" t="n">
        <v>0</v>
      </c>
      <c r="AP44" s="13" t="n">
        <v>0</v>
      </c>
      <c r="AQ44" s="13" t="n">
        <v>0</v>
      </c>
      <c r="AR44" s="13" t="n">
        <v>0</v>
      </c>
      <c r="AS44" s="13" t="n">
        <v>0</v>
      </c>
      <c r="AT44" s="13" t="n">
        <v>0</v>
      </c>
      <c r="AU44" s="13" t="n">
        <v>0</v>
      </c>
      <c r="AV44" s="13" t="n">
        <v>0</v>
      </c>
      <c r="AW44" s="13" t="n">
        <v>0</v>
      </c>
      <c r="AX44" s="13" t="n">
        <v>0</v>
      </c>
    </row>
    <row r="45">
      <c r="A45" t="inlineStr">
        <is>
          <t>Reductions — Professional services ($K)</t>
        </is>
      </c>
      <c r="C45" s="14" t="n">
        <v>0</v>
      </c>
      <c r="D45" s="14" t="n">
        <v>0</v>
      </c>
      <c r="E45" s="14" t="n">
        <v>0</v>
      </c>
      <c r="F45" s="14" t="n">
        <v>0</v>
      </c>
      <c r="G45" s="14" t="n">
        <v>25</v>
      </c>
      <c r="H45" s="14" t="n">
        <v>50</v>
      </c>
      <c r="I45" s="14" t="n">
        <v>75</v>
      </c>
      <c r="J45" s="14" t="n">
        <v>100</v>
      </c>
      <c r="K45" s="14" t="n">
        <v>125</v>
      </c>
      <c r="L45" s="14" t="n">
        <v>150</v>
      </c>
      <c r="M45" s="14" t="n">
        <v>175</v>
      </c>
      <c r="N45" s="14" t="n">
        <v>200</v>
      </c>
      <c r="O45" s="14" t="n">
        <v>225</v>
      </c>
      <c r="P45" s="14" t="n">
        <v>250</v>
      </c>
      <c r="Q45" s="14" t="n">
        <v>275</v>
      </c>
      <c r="R45" s="14" t="n">
        <v>300</v>
      </c>
      <c r="S45" s="14" t="n">
        <v>325</v>
      </c>
      <c r="T45" s="14" t="n">
        <v>350</v>
      </c>
      <c r="U45" s="14" t="n">
        <v>375</v>
      </c>
      <c r="V45" s="14" t="n">
        <v>400</v>
      </c>
      <c r="W45" s="14" t="n">
        <v>425</v>
      </c>
      <c r="X45" s="14" t="n">
        <v>450</v>
      </c>
      <c r="Y45" s="14" t="n">
        <v>475</v>
      </c>
      <c r="Z45" s="14" t="n">
        <v>500</v>
      </c>
      <c r="AA45" s="14" t="n">
        <v>525</v>
      </c>
      <c r="AB45" s="14" t="n">
        <v>550</v>
      </c>
      <c r="AC45" s="14" t="n">
        <v>575</v>
      </c>
      <c r="AD45" s="14" t="n">
        <v>600</v>
      </c>
      <c r="AE45" s="14" t="n">
        <v>600</v>
      </c>
      <c r="AF45" s="14" t="n">
        <v>600</v>
      </c>
      <c r="AG45" s="14" t="n">
        <v>600</v>
      </c>
      <c r="AH45" s="14" t="n">
        <v>600</v>
      </c>
      <c r="AI45" s="14" t="n">
        <v>600</v>
      </c>
      <c r="AJ45" s="14" t="n">
        <v>600</v>
      </c>
      <c r="AK45" s="14" t="n">
        <v>600</v>
      </c>
      <c r="AL45" s="14" t="n">
        <v>600</v>
      </c>
      <c r="AM45" s="14" t="n">
        <v>600</v>
      </c>
      <c r="AN45" s="14" t="n">
        <v>600</v>
      </c>
      <c r="AO45" s="14" t="n">
        <v>600</v>
      </c>
      <c r="AP45" s="14" t="n">
        <v>600</v>
      </c>
      <c r="AQ45" s="14" t="n">
        <v>600</v>
      </c>
      <c r="AR45" s="14" t="n">
        <v>600</v>
      </c>
      <c r="AS45" s="14" t="n">
        <v>600</v>
      </c>
      <c r="AT45" s="14" t="n">
        <v>600</v>
      </c>
      <c r="AU45" s="14" t="n">
        <v>600</v>
      </c>
      <c r="AV45" s="14" t="n">
        <v>600</v>
      </c>
      <c r="AW45" s="14" t="n">
        <v>600</v>
      </c>
      <c r="AX45" s="14" t="n">
        <v>600</v>
      </c>
    </row>
    <row r="46">
      <c r="A46" t="inlineStr">
        <is>
          <t>Reductions — Offshore contractors ($K)</t>
        </is>
      </c>
      <c r="C46" s="14" t="n">
        <v>0</v>
      </c>
      <c r="D46" s="14" t="n">
        <v>0</v>
      </c>
      <c r="E46" s="14" t="n">
        <v>0</v>
      </c>
      <c r="F46" s="14" t="n">
        <v>0</v>
      </c>
      <c r="G46" s="14" t="n">
        <v>0</v>
      </c>
      <c r="H46" s="14" t="n">
        <v>0</v>
      </c>
      <c r="I46" s="14" t="n">
        <v>0</v>
      </c>
      <c r="J46" s="14" t="n">
        <v>10</v>
      </c>
      <c r="K46" s="14" t="n">
        <v>20</v>
      </c>
      <c r="L46" s="14" t="n">
        <v>30</v>
      </c>
      <c r="M46" s="14" t="n">
        <v>40</v>
      </c>
      <c r="N46" s="14" t="n">
        <v>50</v>
      </c>
      <c r="O46" s="14" t="n">
        <v>60</v>
      </c>
      <c r="P46" s="14" t="n">
        <v>70</v>
      </c>
      <c r="Q46" s="14" t="n">
        <v>80</v>
      </c>
      <c r="R46" s="14" t="n">
        <v>90</v>
      </c>
      <c r="S46" s="14" t="n">
        <v>100</v>
      </c>
      <c r="T46" s="14" t="n">
        <v>110</v>
      </c>
      <c r="U46" s="14" t="n">
        <v>120</v>
      </c>
      <c r="V46" s="14" t="n">
        <v>130</v>
      </c>
      <c r="W46" s="14" t="n">
        <v>140</v>
      </c>
      <c r="X46" s="14" t="n">
        <v>150</v>
      </c>
      <c r="Y46" s="14" t="n">
        <v>160</v>
      </c>
      <c r="Z46" s="14" t="n">
        <v>170</v>
      </c>
      <c r="AA46" s="14" t="n">
        <v>180</v>
      </c>
      <c r="AB46" s="14" t="n">
        <v>190</v>
      </c>
      <c r="AC46" s="14" t="n">
        <v>200</v>
      </c>
      <c r="AD46" s="14" t="n">
        <v>210</v>
      </c>
      <c r="AE46" s="14" t="n">
        <v>220</v>
      </c>
      <c r="AF46" s="14" t="n">
        <v>230</v>
      </c>
      <c r="AG46" s="14" t="n">
        <v>240</v>
      </c>
      <c r="AH46" s="14" t="n">
        <v>250</v>
      </c>
      <c r="AI46" s="14" t="n">
        <v>250</v>
      </c>
      <c r="AJ46" s="14" t="n">
        <v>250</v>
      </c>
      <c r="AK46" s="14" t="n">
        <v>250</v>
      </c>
      <c r="AL46" s="14" t="n">
        <v>250</v>
      </c>
      <c r="AM46" s="14" t="n">
        <v>250</v>
      </c>
      <c r="AN46" s="14" t="n">
        <v>250</v>
      </c>
      <c r="AO46" s="14" t="n">
        <v>250</v>
      </c>
      <c r="AP46" s="14" t="n">
        <v>250</v>
      </c>
      <c r="AQ46" s="14" t="n">
        <v>250</v>
      </c>
      <c r="AR46" s="14" t="n">
        <v>250</v>
      </c>
      <c r="AS46" s="14" t="n">
        <v>250</v>
      </c>
      <c r="AT46" s="14" t="n">
        <v>250</v>
      </c>
      <c r="AU46" s="14" t="n">
        <v>250</v>
      </c>
      <c r="AV46" s="14" t="n">
        <v>250</v>
      </c>
      <c r="AW46" s="14" t="n">
        <v>250</v>
      </c>
      <c r="AX46" s="14" t="n">
        <v>250</v>
      </c>
    </row>
    <row r="47">
      <c r="A47" t="inlineStr">
        <is>
          <t>Reductions — Onshore contractors ($K)</t>
        </is>
      </c>
      <c r="C47" s="14" t="n">
        <v>0</v>
      </c>
      <c r="D47" s="14" t="n">
        <v>0</v>
      </c>
      <c r="E47" s="14" t="n">
        <v>0</v>
      </c>
      <c r="F47" s="14" t="n">
        <v>0</v>
      </c>
      <c r="G47" s="14" t="n">
        <v>0</v>
      </c>
      <c r="H47" s="14" t="n">
        <v>0</v>
      </c>
      <c r="I47" s="14" t="n">
        <v>0</v>
      </c>
      <c r="J47" s="14" t="n">
        <v>8</v>
      </c>
      <c r="K47" s="14" t="n">
        <v>16</v>
      </c>
      <c r="L47" s="14" t="n">
        <v>24</v>
      </c>
      <c r="M47" s="14" t="n">
        <v>32</v>
      </c>
      <c r="N47" s="14" t="n">
        <v>40</v>
      </c>
      <c r="O47" s="14" t="n">
        <v>48</v>
      </c>
      <c r="P47" s="14" t="n">
        <v>56</v>
      </c>
      <c r="Q47" s="14" t="n">
        <v>64</v>
      </c>
      <c r="R47" s="14" t="n">
        <v>72</v>
      </c>
      <c r="S47" s="14" t="n">
        <v>80</v>
      </c>
      <c r="T47" s="14" t="n">
        <v>88</v>
      </c>
      <c r="U47" s="14" t="n">
        <v>96</v>
      </c>
      <c r="V47" s="14" t="n">
        <v>104</v>
      </c>
      <c r="W47" s="14" t="n">
        <v>112</v>
      </c>
      <c r="X47" s="14" t="n">
        <v>120</v>
      </c>
      <c r="Y47" s="14" t="n">
        <v>128</v>
      </c>
      <c r="Z47" s="14" t="n">
        <v>136</v>
      </c>
      <c r="AA47" s="14" t="n">
        <v>144</v>
      </c>
      <c r="AB47" s="14" t="n">
        <v>152</v>
      </c>
      <c r="AC47" s="14" t="n">
        <v>160</v>
      </c>
      <c r="AD47" s="14" t="n">
        <v>168</v>
      </c>
      <c r="AE47" s="14" t="n">
        <v>176</v>
      </c>
      <c r="AF47" s="14" t="n">
        <v>184</v>
      </c>
      <c r="AG47" s="14" t="n">
        <v>192</v>
      </c>
      <c r="AH47" s="14" t="n">
        <v>200</v>
      </c>
      <c r="AI47" s="14" t="n">
        <v>200</v>
      </c>
      <c r="AJ47" s="14" t="n">
        <v>200</v>
      </c>
      <c r="AK47" s="14" t="n">
        <v>200</v>
      </c>
      <c r="AL47" s="14" t="n">
        <v>200</v>
      </c>
      <c r="AM47" s="14" t="n">
        <v>200</v>
      </c>
      <c r="AN47" s="14" t="n">
        <v>200</v>
      </c>
      <c r="AO47" s="14" t="n">
        <v>200</v>
      </c>
      <c r="AP47" s="14" t="n">
        <v>200</v>
      </c>
      <c r="AQ47" s="14" t="n">
        <v>200</v>
      </c>
      <c r="AR47" s="14" t="n">
        <v>200</v>
      </c>
      <c r="AS47" s="14" t="n">
        <v>200</v>
      </c>
      <c r="AT47" s="14" t="n">
        <v>200</v>
      </c>
      <c r="AU47" s="14" t="n">
        <v>200</v>
      </c>
      <c r="AV47" s="14" t="n">
        <v>200</v>
      </c>
      <c r="AW47" s="14" t="n">
        <v>200</v>
      </c>
      <c r="AX47" s="14" t="n">
        <v>200</v>
      </c>
    </row>
    <row r="48">
      <c r="A48" t="inlineStr">
        <is>
          <t>Reductions — Employees / Other ($K)</t>
        </is>
      </c>
      <c r="C48" s="14" t="n">
        <v>0</v>
      </c>
      <c r="D48" s="14" t="n">
        <v>0</v>
      </c>
      <c r="E48" s="14" t="n">
        <v>0</v>
      </c>
      <c r="F48" s="14" t="n">
        <v>0</v>
      </c>
      <c r="G48" s="14" t="n">
        <v>0</v>
      </c>
      <c r="H48" s="14" t="n">
        <v>0</v>
      </c>
      <c r="I48" s="14" t="n">
        <v>0</v>
      </c>
      <c r="J48" s="14" t="n">
        <v>0</v>
      </c>
      <c r="K48" s="14" t="n">
        <v>0</v>
      </c>
      <c r="L48" s="14" t="n">
        <v>0</v>
      </c>
      <c r="M48" s="14" t="n">
        <v>4</v>
      </c>
      <c r="N48" s="14" t="n">
        <v>8</v>
      </c>
      <c r="O48" s="14" t="n">
        <v>12</v>
      </c>
      <c r="P48" s="14" t="n">
        <v>16</v>
      </c>
      <c r="Q48" s="14" t="n">
        <v>20</v>
      </c>
      <c r="R48" s="14" t="n">
        <v>24</v>
      </c>
      <c r="S48" s="14" t="n">
        <v>28</v>
      </c>
      <c r="T48" s="14" t="n">
        <v>32</v>
      </c>
      <c r="U48" s="14" t="n">
        <v>36</v>
      </c>
      <c r="V48" s="14" t="n">
        <v>40</v>
      </c>
      <c r="W48" s="14" t="n">
        <v>44</v>
      </c>
      <c r="X48" s="14" t="n">
        <v>48</v>
      </c>
      <c r="Y48" s="14" t="n">
        <v>52</v>
      </c>
      <c r="Z48" s="14" t="n">
        <v>56</v>
      </c>
      <c r="AA48" s="14" t="n">
        <v>60</v>
      </c>
      <c r="AB48" s="14" t="n">
        <v>64</v>
      </c>
      <c r="AC48" s="14" t="n">
        <v>68</v>
      </c>
      <c r="AD48" s="14" t="n">
        <v>72</v>
      </c>
      <c r="AE48" s="14" t="n">
        <v>76</v>
      </c>
      <c r="AF48" s="14" t="n">
        <v>80</v>
      </c>
      <c r="AG48" s="14" t="n">
        <v>84</v>
      </c>
      <c r="AH48" s="14" t="n">
        <v>88</v>
      </c>
      <c r="AI48" s="14" t="n">
        <v>92</v>
      </c>
      <c r="AJ48" s="14" t="n">
        <v>96</v>
      </c>
      <c r="AK48" s="14" t="n">
        <v>100</v>
      </c>
      <c r="AL48" s="14" t="n">
        <v>100</v>
      </c>
      <c r="AM48" s="14" t="n">
        <v>100</v>
      </c>
      <c r="AN48" s="14" t="n">
        <v>100</v>
      </c>
      <c r="AO48" s="14" t="n">
        <v>100</v>
      </c>
      <c r="AP48" s="14" t="n">
        <v>100</v>
      </c>
      <c r="AQ48" s="14" t="n">
        <v>100</v>
      </c>
      <c r="AR48" s="14" t="n">
        <v>100</v>
      </c>
      <c r="AS48" s="14" t="n">
        <v>100</v>
      </c>
      <c r="AT48" s="14" t="n">
        <v>100</v>
      </c>
      <c r="AU48" s="14" t="n">
        <v>100</v>
      </c>
      <c r="AV48" s="14" t="n">
        <v>100</v>
      </c>
      <c r="AW48" s="14" t="n">
        <v>100</v>
      </c>
      <c r="AX48" s="14" t="n">
        <v>100</v>
      </c>
    </row>
    <row r="49">
      <c r="A49" t="inlineStr">
        <is>
          <t>India cost adds ($K)</t>
        </is>
      </c>
      <c r="C49" s="14" t="n">
        <v>22</v>
      </c>
      <c r="D49" s="14" t="n">
        <v>45</v>
      </c>
      <c r="E49" s="14" t="n">
        <v>68</v>
      </c>
      <c r="F49" s="14" t="n">
        <v>90</v>
      </c>
      <c r="G49" s="14" t="n">
        <v>112</v>
      </c>
      <c r="H49" s="14" t="n">
        <v>135</v>
      </c>
      <c r="I49" s="14" t="n">
        <v>158</v>
      </c>
      <c r="J49" s="14" t="n">
        <v>180</v>
      </c>
      <c r="K49" s="14" t="n">
        <v>202</v>
      </c>
      <c r="L49" s="14" t="n">
        <v>225</v>
      </c>
      <c r="M49" s="14" t="n">
        <v>248</v>
      </c>
      <c r="N49" s="14" t="n">
        <v>270</v>
      </c>
      <c r="O49" s="14" t="n">
        <v>308</v>
      </c>
      <c r="P49" s="14" t="n">
        <v>345</v>
      </c>
      <c r="Q49" s="14" t="n">
        <v>382</v>
      </c>
      <c r="R49" s="14" t="n">
        <v>420</v>
      </c>
      <c r="S49" s="14" t="n">
        <v>458</v>
      </c>
      <c r="T49" s="14" t="n">
        <v>495</v>
      </c>
      <c r="U49" s="14" t="n">
        <v>532</v>
      </c>
      <c r="V49" s="14" t="n">
        <v>570</v>
      </c>
      <c r="W49" s="14" t="n">
        <v>608</v>
      </c>
      <c r="X49" s="14" t="n">
        <v>645</v>
      </c>
      <c r="Y49" s="14" t="n">
        <v>682</v>
      </c>
      <c r="Z49" s="14" t="n">
        <v>720</v>
      </c>
      <c r="AA49" s="14" t="n">
        <v>720</v>
      </c>
      <c r="AB49" s="14" t="n">
        <v>720</v>
      </c>
      <c r="AC49" s="14" t="n">
        <v>720</v>
      </c>
      <c r="AD49" s="14" t="n">
        <v>720</v>
      </c>
      <c r="AE49" s="14" t="n">
        <v>720</v>
      </c>
      <c r="AF49" s="14" t="n">
        <v>720</v>
      </c>
      <c r="AG49" s="14" t="n">
        <v>720</v>
      </c>
      <c r="AH49" s="14" t="n">
        <v>720</v>
      </c>
      <c r="AI49" s="14" t="n">
        <v>720</v>
      </c>
      <c r="AJ49" s="14" t="n">
        <v>720</v>
      </c>
      <c r="AK49" s="14" t="n">
        <v>720</v>
      </c>
      <c r="AL49" s="14" t="n">
        <v>720</v>
      </c>
      <c r="AM49" s="14" t="n">
        <v>720</v>
      </c>
      <c r="AN49" s="14" t="n">
        <v>720</v>
      </c>
      <c r="AO49" s="14" t="n">
        <v>720</v>
      </c>
      <c r="AP49" s="14" t="n">
        <v>720</v>
      </c>
      <c r="AQ49" s="14" t="n">
        <v>720</v>
      </c>
      <c r="AR49" s="14" t="n">
        <v>720</v>
      </c>
      <c r="AS49" s="14" t="n">
        <v>720</v>
      </c>
      <c r="AT49" s="14" t="n">
        <v>720</v>
      </c>
      <c r="AU49" s="14" t="n">
        <v>720</v>
      </c>
      <c r="AV49" s="14" t="n">
        <v>720</v>
      </c>
      <c r="AW49" s="14" t="n">
        <v>720</v>
      </c>
      <c r="AX49" s="14" t="n">
        <v>720</v>
      </c>
    </row>
    <row r="50">
      <c r="A50" s="8" t="inlineStr">
        <is>
          <t>Net labor arbitrage ($K)</t>
        </is>
      </c>
      <c r="C50" s="15">
        <f>SUM(C45:C48)-C49</f>
        <v/>
      </c>
      <c r="D50" s="15">
        <f>SUM(D45:D48)-D49</f>
        <v/>
      </c>
      <c r="E50" s="15">
        <f>SUM(E45:E48)-E49</f>
        <v/>
      </c>
      <c r="F50" s="15">
        <f>SUM(F45:F48)-F49</f>
        <v/>
      </c>
      <c r="G50" s="15">
        <f>SUM(G45:G48)-G49</f>
        <v/>
      </c>
      <c r="H50" s="15">
        <f>SUM(H45:H48)-H49</f>
        <v/>
      </c>
      <c r="I50" s="15">
        <f>SUM(I45:I48)-I49</f>
        <v/>
      </c>
      <c r="J50" s="15">
        <f>SUM(J45:J48)-J49</f>
        <v/>
      </c>
      <c r="K50" s="15">
        <f>SUM(K45:K48)-K49</f>
        <v/>
      </c>
      <c r="L50" s="15">
        <f>SUM(L45:L48)-L49</f>
        <v/>
      </c>
      <c r="M50" s="15">
        <f>SUM(M45:M48)-M49</f>
        <v/>
      </c>
      <c r="N50" s="15">
        <f>SUM(N45:N48)-N49</f>
        <v/>
      </c>
      <c r="O50" s="15">
        <f>SUM(O45:O48)-O49</f>
        <v/>
      </c>
      <c r="P50" s="15">
        <f>SUM(P45:P48)-P49</f>
        <v/>
      </c>
      <c r="Q50" s="15">
        <f>SUM(Q45:Q48)-Q49</f>
        <v/>
      </c>
      <c r="R50" s="15">
        <f>SUM(R45:R48)-R49</f>
        <v/>
      </c>
      <c r="S50" s="15">
        <f>SUM(S45:S48)-S49</f>
        <v/>
      </c>
      <c r="T50" s="15">
        <f>SUM(T45:T48)-T49</f>
        <v/>
      </c>
      <c r="U50" s="15">
        <f>SUM(U45:U48)-U49</f>
        <v/>
      </c>
      <c r="V50" s="15">
        <f>SUM(V45:V48)-V49</f>
        <v/>
      </c>
      <c r="W50" s="15">
        <f>SUM(W45:W48)-W49</f>
        <v/>
      </c>
      <c r="X50" s="15">
        <f>SUM(X45:X48)-X49</f>
        <v/>
      </c>
      <c r="Y50" s="15">
        <f>SUM(Y45:Y48)-Y49</f>
        <v/>
      </c>
      <c r="Z50" s="15">
        <f>SUM(Z45:Z48)-Z49</f>
        <v/>
      </c>
      <c r="AA50" s="15">
        <f>SUM(AA45:AA48)-AA49</f>
        <v/>
      </c>
      <c r="AB50" s="15">
        <f>SUM(AB45:AB48)-AB49</f>
        <v/>
      </c>
      <c r="AC50" s="15">
        <f>SUM(AC45:AC48)-AC49</f>
        <v/>
      </c>
      <c r="AD50" s="15">
        <f>SUM(AD45:AD48)-AD49</f>
        <v/>
      </c>
      <c r="AE50" s="15">
        <f>SUM(AE45:AE48)-AE49</f>
        <v/>
      </c>
      <c r="AF50" s="15">
        <f>SUM(AF45:AF48)-AF49</f>
        <v/>
      </c>
      <c r="AG50" s="15">
        <f>SUM(AG45:AG48)-AG49</f>
        <v/>
      </c>
      <c r="AH50" s="15">
        <f>SUM(AH45:AH48)-AH49</f>
        <v/>
      </c>
      <c r="AI50" s="15">
        <f>SUM(AI45:AI48)-AI49</f>
        <v/>
      </c>
      <c r="AJ50" s="15">
        <f>SUM(AJ45:AJ48)-AJ49</f>
        <v/>
      </c>
      <c r="AK50" s="15">
        <f>SUM(AK45:AK48)-AK49</f>
        <v/>
      </c>
      <c r="AL50" s="15">
        <f>SUM(AL45:AL48)-AL49</f>
        <v/>
      </c>
      <c r="AM50" s="15">
        <f>SUM(AM45:AM48)-AM49</f>
        <v/>
      </c>
      <c r="AN50" s="15">
        <f>SUM(AN45:AN48)-AN49</f>
        <v/>
      </c>
      <c r="AO50" s="15">
        <f>SUM(AO45:AO48)-AO49</f>
        <v/>
      </c>
      <c r="AP50" s="15">
        <f>SUM(AP45:AP48)-AP49</f>
        <v/>
      </c>
      <c r="AQ50" s="15">
        <f>SUM(AQ45:AQ48)-AQ49</f>
        <v/>
      </c>
      <c r="AR50" s="15">
        <f>SUM(AR45:AR48)-AR49</f>
        <v/>
      </c>
      <c r="AS50" s="15">
        <f>SUM(AS45:AS48)-AS49</f>
        <v/>
      </c>
      <c r="AT50" s="15">
        <f>SUM(AT45:AT48)-AT49</f>
        <v/>
      </c>
      <c r="AU50" s="15">
        <f>SUM(AU45:AU48)-AU49</f>
        <v/>
      </c>
      <c r="AV50" s="15">
        <f>SUM(AV45:AV48)-AV49</f>
        <v/>
      </c>
      <c r="AW50" s="15">
        <f>SUM(AW45:AW48)-AW49</f>
        <v/>
      </c>
      <c r="AX50" s="15">
        <f>SUM(AX45:AX48)-AX49</f>
        <v/>
      </c>
    </row>
    <row r="52">
      <c r="A52" s="11">
        <f>CONCATENATE("ORG: ",Setup!$B$9)</f>
        <v/>
      </c>
      <c r="B52" s="12" t="n"/>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c r="Y52" s="12" t="n"/>
      <c r="Z52" s="12" t="n"/>
      <c r="AA52" s="12" t="n"/>
      <c r="AB52" s="12" t="n"/>
      <c r="AC52" s="12" t="n"/>
      <c r="AD52" s="12" t="n"/>
      <c r="AE52" s="12" t="n"/>
      <c r="AF52" s="12" t="n"/>
      <c r="AG52" s="12" t="n"/>
      <c r="AH52" s="12" t="n"/>
      <c r="AI52" s="12" t="n"/>
      <c r="AJ52" s="12" t="n"/>
      <c r="AK52" s="12" t="n"/>
      <c r="AL52" s="12" t="n"/>
      <c r="AM52" s="12" t="n"/>
      <c r="AN52" s="12" t="n"/>
      <c r="AO52" s="12" t="n"/>
      <c r="AP52" s="12" t="n"/>
      <c r="AQ52" s="12" t="n"/>
      <c r="AR52" s="12" t="n"/>
      <c r="AS52" s="12" t="n"/>
      <c r="AT52" s="12" t="n"/>
      <c r="AU52" s="12" t="n"/>
      <c r="AV52" s="12" t="n"/>
      <c r="AW52" s="12" t="n"/>
      <c r="AX52" s="12" t="n"/>
    </row>
    <row r="53">
      <c r="A53" t="inlineStr">
        <is>
          <t>India hires (heads)</t>
        </is>
      </c>
      <c r="C53" s="13" t="n">
        <v>5</v>
      </c>
      <c r="D53" s="13" t="n">
        <v>5</v>
      </c>
      <c r="E53" s="13" t="n">
        <v>5</v>
      </c>
      <c r="F53" s="13" t="n">
        <v>5</v>
      </c>
      <c r="G53" s="13" t="n">
        <v>5</v>
      </c>
      <c r="H53" s="13" t="n">
        <v>5</v>
      </c>
      <c r="I53" s="13" t="n">
        <v>5</v>
      </c>
      <c r="J53" s="13" t="n">
        <v>5</v>
      </c>
      <c r="K53" s="13" t="n">
        <v>5</v>
      </c>
      <c r="L53" s="13" t="n">
        <v>5</v>
      </c>
      <c r="M53" s="13" t="n">
        <v>5</v>
      </c>
      <c r="N53" s="13" t="n">
        <v>5</v>
      </c>
      <c r="O53" s="13" t="n">
        <v>9</v>
      </c>
      <c r="P53" s="13" t="n">
        <v>9</v>
      </c>
      <c r="Q53" s="13" t="n">
        <v>9</v>
      </c>
      <c r="R53" s="13" t="n">
        <v>9</v>
      </c>
      <c r="S53" s="13" t="n">
        <v>9</v>
      </c>
      <c r="T53" s="13" t="n">
        <v>9</v>
      </c>
      <c r="U53" s="13" t="n">
        <v>9</v>
      </c>
      <c r="V53" s="13" t="n">
        <v>9</v>
      </c>
      <c r="W53" s="13" t="n">
        <v>9</v>
      </c>
      <c r="X53" s="13" t="n">
        <v>9</v>
      </c>
      <c r="Y53" s="13" t="n">
        <v>9</v>
      </c>
      <c r="Z53" s="13" t="n">
        <v>9</v>
      </c>
      <c r="AA53" s="13" t="n">
        <v>0</v>
      </c>
      <c r="AB53" s="13" t="n">
        <v>0</v>
      </c>
      <c r="AC53" s="13" t="n">
        <v>0</v>
      </c>
      <c r="AD53" s="13" t="n">
        <v>0</v>
      </c>
      <c r="AE53" s="13" t="n">
        <v>0</v>
      </c>
      <c r="AF53" s="13" t="n">
        <v>0</v>
      </c>
      <c r="AG53" s="13" t="n">
        <v>0</v>
      </c>
      <c r="AH53" s="13" t="n">
        <v>0</v>
      </c>
      <c r="AI53" s="13" t="n">
        <v>0</v>
      </c>
      <c r="AJ53" s="13" t="n">
        <v>0</v>
      </c>
      <c r="AK53" s="13" t="n">
        <v>0</v>
      </c>
      <c r="AL53" s="13" t="n">
        <v>0</v>
      </c>
      <c r="AM53" s="13" t="n">
        <v>0</v>
      </c>
      <c r="AN53" s="13" t="n">
        <v>0</v>
      </c>
      <c r="AO53" s="13" t="n">
        <v>0</v>
      </c>
      <c r="AP53" s="13" t="n">
        <v>0</v>
      </c>
      <c r="AQ53" s="13" t="n">
        <v>0</v>
      </c>
      <c r="AR53" s="13" t="n">
        <v>0</v>
      </c>
      <c r="AS53" s="13" t="n">
        <v>0</v>
      </c>
      <c r="AT53" s="13" t="n">
        <v>0</v>
      </c>
      <c r="AU53" s="13" t="n">
        <v>0</v>
      </c>
      <c r="AV53" s="13" t="n">
        <v>0</v>
      </c>
      <c r="AW53" s="13" t="n">
        <v>0</v>
      </c>
      <c r="AX53" s="13" t="n">
        <v>0</v>
      </c>
    </row>
    <row r="54">
      <c r="A54" t="inlineStr">
        <is>
          <t>Reductions — Professional services ($K)</t>
        </is>
      </c>
      <c r="C54" s="14" t="n">
        <v>0</v>
      </c>
      <c r="D54" s="14" t="n">
        <v>0</v>
      </c>
      <c r="E54" s="14" t="n">
        <v>0</v>
      </c>
      <c r="F54" s="14" t="n">
        <v>0</v>
      </c>
      <c r="G54" s="14" t="n">
        <v>22</v>
      </c>
      <c r="H54" s="14" t="n">
        <v>45</v>
      </c>
      <c r="I54" s="14" t="n">
        <v>68</v>
      </c>
      <c r="J54" s="14" t="n">
        <v>90</v>
      </c>
      <c r="K54" s="14" t="n">
        <v>112</v>
      </c>
      <c r="L54" s="14" t="n">
        <v>135</v>
      </c>
      <c r="M54" s="14" t="n">
        <v>158</v>
      </c>
      <c r="N54" s="14" t="n">
        <v>180</v>
      </c>
      <c r="O54" s="14" t="n">
        <v>202</v>
      </c>
      <c r="P54" s="14" t="n">
        <v>225</v>
      </c>
      <c r="Q54" s="14" t="n">
        <v>248</v>
      </c>
      <c r="R54" s="14" t="n">
        <v>270</v>
      </c>
      <c r="S54" s="14" t="n">
        <v>292</v>
      </c>
      <c r="T54" s="14" t="n">
        <v>315</v>
      </c>
      <c r="U54" s="14" t="n">
        <v>338</v>
      </c>
      <c r="V54" s="14" t="n">
        <v>360</v>
      </c>
      <c r="W54" s="14" t="n">
        <v>382</v>
      </c>
      <c r="X54" s="14" t="n">
        <v>405</v>
      </c>
      <c r="Y54" s="14" t="n">
        <v>428</v>
      </c>
      <c r="Z54" s="14" t="n">
        <v>450</v>
      </c>
      <c r="AA54" s="14" t="n">
        <v>472</v>
      </c>
      <c r="AB54" s="14" t="n">
        <v>495</v>
      </c>
      <c r="AC54" s="14" t="n">
        <v>518</v>
      </c>
      <c r="AD54" s="14" t="n">
        <v>540</v>
      </c>
      <c r="AE54" s="14" t="n">
        <v>540</v>
      </c>
      <c r="AF54" s="14" t="n">
        <v>540</v>
      </c>
      <c r="AG54" s="14" t="n">
        <v>540</v>
      </c>
      <c r="AH54" s="14" t="n">
        <v>540</v>
      </c>
      <c r="AI54" s="14" t="n">
        <v>540</v>
      </c>
      <c r="AJ54" s="14" t="n">
        <v>540</v>
      </c>
      <c r="AK54" s="14" t="n">
        <v>540</v>
      </c>
      <c r="AL54" s="14" t="n">
        <v>540</v>
      </c>
      <c r="AM54" s="14" t="n">
        <v>540</v>
      </c>
      <c r="AN54" s="14" t="n">
        <v>540</v>
      </c>
      <c r="AO54" s="14" t="n">
        <v>540</v>
      </c>
      <c r="AP54" s="14" t="n">
        <v>540</v>
      </c>
      <c r="AQ54" s="14" t="n">
        <v>540</v>
      </c>
      <c r="AR54" s="14" t="n">
        <v>540</v>
      </c>
      <c r="AS54" s="14" t="n">
        <v>540</v>
      </c>
      <c r="AT54" s="14" t="n">
        <v>540</v>
      </c>
      <c r="AU54" s="14" t="n">
        <v>540</v>
      </c>
      <c r="AV54" s="14" t="n">
        <v>540</v>
      </c>
      <c r="AW54" s="14" t="n">
        <v>540</v>
      </c>
      <c r="AX54" s="14" t="n">
        <v>540</v>
      </c>
    </row>
    <row r="55">
      <c r="A55" t="inlineStr">
        <is>
          <t>Reductions — Offshore contractors ($K)</t>
        </is>
      </c>
      <c r="C55" s="14" t="n">
        <v>0</v>
      </c>
      <c r="D55" s="14" t="n">
        <v>0</v>
      </c>
      <c r="E55" s="14" t="n">
        <v>0</v>
      </c>
      <c r="F55" s="14" t="n">
        <v>0</v>
      </c>
      <c r="G55" s="14" t="n">
        <v>0</v>
      </c>
      <c r="H55" s="14" t="n">
        <v>0</v>
      </c>
      <c r="I55" s="14" t="n">
        <v>0</v>
      </c>
      <c r="J55" s="14" t="n">
        <v>9</v>
      </c>
      <c r="K55" s="14" t="n">
        <v>18</v>
      </c>
      <c r="L55" s="14" t="n">
        <v>27</v>
      </c>
      <c r="M55" s="14" t="n">
        <v>36</v>
      </c>
      <c r="N55" s="14" t="n">
        <v>45</v>
      </c>
      <c r="O55" s="14" t="n">
        <v>54</v>
      </c>
      <c r="P55" s="14" t="n">
        <v>63</v>
      </c>
      <c r="Q55" s="14" t="n">
        <v>72</v>
      </c>
      <c r="R55" s="14" t="n">
        <v>81</v>
      </c>
      <c r="S55" s="14" t="n">
        <v>90</v>
      </c>
      <c r="T55" s="14" t="n">
        <v>99</v>
      </c>
      <c r="U55" s="14" t="n">
        <v>108</v>
      </c>
      <c r="V55" s="14" t="n">
        <v>117</v>
      </c>
      <c r="W55" s="14" t="n">
        <v>126</v>
      </c>
      <c r="X55" s="14" t="n">
        <v>135</v>
      </c>
      <c r="Y55" s="14" t="n">
        <v>144</v>
      </c>
      <c r="Z55" s="14" t="n">
        <v>153</v>
      </c>
      <c r="AA55" s="14" t="n">
        <v>162</v>
      </c>
      <c r="AB55" s="14" t="n">
        <v>171</v>
      </c>
      <c r="AC55" s="14" t="n">
        <v>180</v>
      </c>
      <c r="AD55" s="14" t="n">
        <v>189</v>
      </c>
      <c r="AE55" s="14" t="n">
        <v>198</v>
      </c>
      <c r="AF55" s="14" t="n">
        <v>207</v>
      </c>
      <c r="AG55" s="14" t="n">
        <v>216</v>
      </c>
      <c r="AH55" s="14" t="n">
        <v>225</v>
      </c>
      <c r="AI55" s="14" t="n">
        <v>225</v>
      </c>
      <c r="AJ55" s="14" t="n">
        <v>225</v>
      </c>
      <c r="AK55" s="14" t="n">
        <v>225</v>
      </c>
      <c r="AL55" s="14" t="n">
        <v>225</v>
      </c>
      <c r="AM55" s="14" t="n">
        <v>225</v>
      </c>
      <c r="AN55" s="14" t="n">
        <v>225</v>
      </c>
      <c r="AO55" s="14" t="n">
        <v>225</v>
      </c>
      <c r="AP55" s="14" t="n">
        <v>225</v>
      </c>
      <c r="AQ55" s="14" t="n">
        <v>225</v>
      </c>
      <c r="AR55" s="14" t="n">
        <v>225</v>
      </c>
      <c r="AS55" s="14" t="n">
        <v>225</v>
      </c>
      <c r="AT55" s="14" t="n">
        <v>225</v>
      </c>
      <c r="AU55" s="14" t="n">
        <v>225</v>
      </c>
      <c r="AV55" s="14" t="n">
        <v>225</v>
      </c>
      <c r="AW55" s="14" t="n">
        <v>225</v>
      </c>
      <c r="AX55" s="14" t="n">
        <v>225</v>
      </c>
    </row>
    <row r="56">
      <c r="A56" t="inlineStr">
        <is>
          <t>Reductions — Onshore contractors ($K)</t>
        </is>
      </c>
      <c r="C56" s="14" t="n">
        <v>0</v>
      </c>
      <c r="D56" s="14" t="n">
        <v>0</v>
      </c>
      <c r="E56" s="14" t="n">
        <v>0</v>
      </c>
      <c r="F56" s="14" t="n">
        <v>0</v>
      </c>
      <c r="G56" s="14" t="n">
        <v>0</v>
      </c>
      <c r="H56" s="14" t="n">
        <v>0</v>
      </c>
      <c r="I56" s="14" t="n">
        <v>0</v>
      </c>
      <c r="J56" s="14" t="n">
        <v>7</v>
      </c>
      <c r="K56" s="14" t="n">
        <v>14</v>
      </c>
      <c r="L56" s="14" t="n">
        <v>22</v>
      </c>
      <c r="M56" s="14" t="n">
        <v>29</v>
      </c>
      <c r="N56" s="14" t="n">
        <v>36</v>
      </c>
      <c r="O56" s="14" t="n">
        <v>43</v>
      </c>
      <c r="P56" s="14" t="n">
        <v>50</v>
      </c>
      <c r="Q56" s="14" t="n">
        <v>58</v>
      </c>
      <c r="R56" s="14" t="n">
        <v>65</v>
      </c>
      <c r="S56" s="14" t="n">
        <v>72</v>
      </c>
      <c r="T56" s="14" t="n">
        <v>79</v>
      </c>
      <c r="U56" s="14" t="n">
        <v>86</v>
      </c>
      <c r="V56" s="14" t="n">
        <v>94</v>
      </c>
      <c r="W56" s="14" t="n">
        <v>101</v>
      </c>
      <c r="X56" s="14" t="n">
        <v>108</v>
      </c>
      <c r="Y56" s="14" t="n">
        <v>115</v>
      </c>
      <c r="Z56" s="14" t="n">
        <v>122</v>
      </c>
      <c r="AA56" s="14" t="n">
        <v>130</v>
      </c>
      <c r="AB56" s="14" t="n">
        <v>137</v>
      </c>
      <c r="AC56" s="14" t="n">
        <v>144</v>
      </c>
      <c r="AD56" s="14" t="n">
        <v>151</v>
      </c>
      <c r="AE56" s="14" t="n">
        <v>158</v>
      </c>
      <c r="AF56" s="14" t="n">
        <v>166</v>
      </c>
      <c r="AG56" s="14" t="n">
        <v>173</v>
      </c>
      <c r="AH56" s="14" t="n">
        <v>180</v>
      </c>
      <c r="AI56" s="14" t="n">
        <v>180</v>
      </c>
      <c r="AJ56" s="14" t="n">
        <v>180</v>
      </c>
      <c r="AK56" s="14" t="n">
        <v>180</v>
      </c>
      <c r="AL56" s="14" t="n">
        <v>180</v>
      </c>
      <c r="AM56" s="14" t="n">
        <v>180</v>
      </c>
      <c r="AN56" s="14" t="n">
        <v>180</v>
      </c>
      <c r="AO56" s="14" t="n">
        <v>180</v>
      </c>
      <c r="AP56" s="14" t="n">
        <v>180</v>
      </c>
      <c r="AQ56" s="14" t="n">
        <v>180</v>
      </c>
      <c r="AR56" s="14" t="n">
        <v>180</v>
      </c>
      <c r="AS56" s="14" t="n">
        <v>180</v>
      </c>
      <c r="AT56" s="14" t="n">
        <v>180</v>
      </c>
      <c r="AU56" s="14" t="n">
        <v>180</v>
      </c>
      <c r="AV56" s="14" t="n">
        <v>180</v>
      </c>
      <c r="AW56" s="14" t="n">
        <v>180</v>
      </c>
      <c r="AX56" s="14" t="n">
        <v>180</v>
      </c>
    </row>
    <row r="57">
      <c r="A57" t="inlineStr">
        <is>
          <t>Reductions — Employees / Other ($K)</t>
        </is>
      </c>
      <c r="C57" s="14" t="n">
        <v>0</v>
      </c>
      <c r="D57" s="14" t="n">
        <v>0</v>
      </c>
      <c r="E57" s="14" t="n">
        <v>0</v>
      </c>
      <c r="F57" s="14" t="n">
        <v>0</v>
      </c>
      <c r="G57" s="14" t="n">
        <v>0</v>
      </c>
      <c r="H57" s="14" t="n">
        <v>0</v>
      </c>
      <c r="I57" s="14" t="n">
        <v>0</v>
      </c>
      <c r="J57" s="14" t="n">
        <v>0</v>
      </c>
      <c r="K57" s="14" t="n">
        <v>0</v>
      </c>
      <c r="L57" s="14" t="n">
        <v>0</v>
      </c>
      <c r="M57" s="14" t="n">
        <v>4</v>
      </c>
      <c r="N57" s="14" t="n">
        <v>7</v>
      </c>
      <c r="O57" s="14" t="n">
        <v>11</v>
      </c>
      <c r="P57" s="14" t="n">
        <v>14</v>
      </c>
      <c r="Q57" s="14" t="n">
        <v>18</v>
      </c>
      <c r="R57" s="14" t="n">
        <v>22</v>
      </c>
      <c r="S57" s="14" t="n">
        <v>25</v>
      </c>
      <c r="T57" s="14" t="n">
        <v>29</v>
      </c>
      <c r="U57" s="14" t="n">
        <v>32</v>
      </c>
      <c r="V57" s="14" t="n">
        <v>36</v>
      </c>
      <c r="W57" s="14" t="n">
        <v>40</v>
      </c>
      <c r="X57" s="14" t="n">
        <v>43</v>
      </c>
      <c r="Y57" s="14" t="n">
        <v>47</v>
      </c>
      <c r="Z57" s="14" t="n">
        <v>50</v>
      </c>
      <c r="AA57" s="14" t="n">
        <v>54</v>
      </c>
      <c r="AB57" s="14" t="n">
        <v>58</v>
      </c>
      <c r="AC57" s="14" t="n">
        <v>61</v>
      </c>
      <c r="AD57" s="14" t="n">
        <v>65</v>
      </c>
      <c r="AE57" s="14" t="n">
        <v>68</v>
      </c>
      <c r="AF57" s="14" t="n">
        <v>72</v>
      </c>
      <c r="AG57" s="14" t="n">
        <v>76</v>
      </c>
      <c r="AH57" s="14" t="n">
        <v>79</v>
      </c>
      <c r="AI57" s="14" t="n">
        <v>83</v>
      </c>
      <c r="AJ57" s="14" t="n">
        <v>86</v>
      </c>
      <c r="AK57" s="14" t="n">
        <v>90</v>
      </c>
      <c r="AL57" s="14" t="n">
        <v>90</v>
      </c>
      <c r="AM57" s="14" t="n">
        <v>90</v>
      </c>
      <c r="AN57" s="14" t="n">
        <v>90</v>
      </c>
      <c r="AO57" s="14" t="n">
        <v>90</v>
      </c>
      <c r="AP57" s="14" t="n">
        <v>90</v>
      </c>
      <c r="AQ57" s="14" t="n">
        <v>90</v>
      </c>
      <c r="AR57" s="14" t="n">
        <v>90</v>
      </c>
      <c r="AS57" s="14" t="n">
        <v>90</v>
      </c>
      <c r="AT57" s="14" t="n">
        <v>90</v>
      </c>
      <c r="AU57" s="14" t="n">
        <v>90</v>
      </c>
      <c r="AV57" s="14" t="n">
        <v>90</v>
      </c>
      <c r="AW57" s="14" t="n">
        <v>90</v>
      </c>
      <c r="AX57" s="14" t="n">
        <v>90</v>
      </c>
    </row>
    <row r="58">
      <c r="A58" t="inlineStr">
        <is>
          <t>India cost adds ($K)</t>
        </is>
      </c>
      <c r="C58" s="14" t="n">
        <v>19</v>
      </c>
      <c r="D58" s="14" t="n">
        <v>38</v>
      </c>
      <c r="E58" s="14" t="n">
        <v>56</v>
      </c>
      <c r="F58" s="14" t="n">
        <v>75</v>
      </c>
      <c r="G58" s="14" t="n">
        <v>94</v>
      </c>
      <c r="H58" s="14" t="n">
        <v>112</v>
      </c>
      <c r="I58" s="14" t="n">
        <v>131</v>
      </c>
      <c r="J58" s="14" t="n">
        <v>150</v>
      </c>
      <c r="K58" s="14" t="n">
        <v>169</v>
      </c>
      <c r="L58" s="14" t="n">
        <v>188</v>
      </c>
      <c r="M58" s="14" t="n">
        <v>206</v>
      </c>
      <c r="N58" s="14" t="n">
        <v>225</v>
      </c>
      <c r="O58" s="14" t="n">
        <v>259</v>
      </c>
      <c r="P58" s="14" t="n">
        <v>292</v>
      </c>
      <c r="Q58" s="14" t="n">
        <v>326</v>
      </c>
      <c r="R58" s="14" t="n">
        <v>360</v>
      </c>
      <c r="S58" s="14" t="n">
        <v>394</v>
      </c>
      <c r="T58" s="14" t="n">
        <v>428</v>
      </c>
      <c r="U58" s="14" t="n">
        <v>461</v>
      </c>
      <c r="V58" s="14" t="n">
        <v>495</v>
      </c>
      <c r="W58" s="14" t="n">
        <v>529</v>
      </c>
      <c r="X58" s="14" t="n">
        <v>562</v>
      </c>
      <c r="Y58" s="14" t="n">
        <v>596</v>
      </c>
      <c r="Z58" s="14" t="n">
        <v>630</v>
      </c>
      <c r="AA58" s="14" t="n">
        <v>630</v>
      </c>
      <c r="AB58" s="14" t="n">
        <v>630</v>
      </c>
      <c r="AC58" s="14" t="n">
        <v>630</v>
      </c>
      <c r="AD58" s="14" t="n">
        <v>630</v>
      </c>
      <c r="AE58" s="14" t="n">
        <v>630</v>
      </c>
      <c r="AF58" s="14" t="n">
        <v>630</v>
      </c>
      <c r="AG58" s="14" t="n">
        <v>630</v>
      </c>
      <c r="AH58" s="14" t="n">
        <v>630</v>
      </c>
      <c r="AI58" s="14" t="n">
        <v>630</v>
      </c>
      <c r="AJ58" s="14" t="n">
        <v>630</v>
      </c>
      <c r="AK58" s="14" t="n">
        <v>630</v>
      </c>
      <c r="AL58" s="14" t="n">
        <v>630</v>
      </c>
      <c r="AM58" s="14" t="n">
        <v>630</v>
      </c>
      <c r="AN58" s="14" t="n">
        <v>630</v>
      </c>
      <c r="AO58" s="14" t="n">
        <v>630</v>
      </c>
      <c r="AP58" s="14" t="n">
        <v>630</v>
      </c>
      <c r="AQ58" s="14" t="n">
        <v>630</v>
      </c>
      <c r="AR58" s="14" t="n">
        <v>630</v>
      </c>
      <c r="AS58" s="14" t="n">
        <v>630</v>
      </c>
      <c r="AT58" s="14" t="n">
        <v>630</v>
      </c>
      <c r="AU58" s="14" t="n">
        <v>630</v>
      </c>
      <c r="AV58" s="14" t="n">
        <v>630</v>
      </c>
      <c r="AW58" s="14" t="n">
        <v>630</v>
      </c>
      <c r="AX58" s="14" t="n">
        <v>630</v>
      </c>
    </row>
    <row r="59">
      <c r="A59" s="8" t="inlineStr">
        <is>
          <t>Net labor arbitrage ($K)</t>
        </is>
      </c>
      <c r="C59" s="15">
        <f>SUM(C54:C57)-C58</f>
        <v/>
      </c>
      <c r="D59" s="15">
        <f>SUM(D54:D57)-D58</f>
        <v/>
      </c>
      <c r="E59" s="15">
        <f>SUM(E54:E57)-E58</f>
        <v/>
      </c>
      <c r="F59" s="15">
        <f>SUM(F54:F57)-F58</f>
        <v/>
      </c>
      <c r="G59" s="15">
        <f>SUM(G54:G57)-G58</f>
        <v/>
      </c>
      <c r="H59" s="15">
        <f>SUM(H54:H57)-H58</f>
        <v/>
      </c>
      <c r="I59" s="15">
        <f>SUM(I54:I57)-I58</f>
        <v/>
      </c>
      <c r="J59" s="15">
        <f>SUM(J54:J57)-J58</f>
        <v/>
      </c>
      <c r="K59" s="15">
        <f>SUM(K54:K57)-K58</f>
        <v/>
      </c>
      <c r="L59" s="15">
        <f>SUM(L54:L57)-L58</f>
        <v/>
      </c>
      <c r="M59" s="15">
        <f>SUM(M54:M57)-M58</f>
        <v/>
      </c>
      <c r="N59" s="15">
        <f>SUM(N54:N57)-N58</f>
        <v/>
      </c>
      <c r="O59" s="15">
        <f>SUM(O54:O57)-O58</f>
        <v/>
      </c>
      <c r="P59" s="15">
        <f>SUM(P54:P57)-P58</f>
        <v/>
      </c>
      <c r="Q59" s="15">
        <f>SUM(Q54:Q57)-Q58</f>
        <v/>
      </c>
      <c r="R59" s="15">
        <f>SUM(R54:R57)-R58</f>
        <v/>
      </c>
      <c r="S59" s="15">
        <f>SUM(S54:S57)-S58</f>
        <v/>
      </c>
      <c r="T59" s="15">
        <f>SUM(T54:T57)-T58</f>
        <v/>
      </c>
      <c r="U59" s="15">
        <f>SUM(U54:U57)-U58</f>
        <v/>
      </c>
      <c r="V59" s="15">
        <f>SUM(V54:V57)-V58</f>
        <v/>
      </c>
      <c r="W59" s="15">
        <f>SUM(W54:W57)-W58</f>
        <v/>
      </c>
      <c r="X59" s="15">
        <f>SUM(X54:X57)-X58</f>
        <v/>
      </c>
      <c r="Y59" s="15">
        <f>SUM(Y54:Y57)-Y58</f>
        <v/>
      </c>
      <c r="Z59" s="15">
        <f>SUM(Z54:Z57)-Z58</f>
        <v/>
      </c>
      <c r="AA59" s="15">
        <f>SUM(AA54:AA57)-AA58</f>
        <v/>
      </c>
      <c r="AB59" s="15">
        <f>SUM(AB54:AB57)-AB58</f>
        <v/>
      </c>
      <c r="AC59" s="15">
        <f>SUM(AC54:AC57)-AC58</f>
        <v/>
      </c>
      <c r="AD59" s="15">
        <f>SUM(AD54:AD57)-AD58</f>
        <v/>
      </c>
      <c r="AE59" s="15">
        <f>SUM(AE54:AE57)-AE58</f>
        <v/>
      </c>
      <c r="AF59" s="15">
        <f>SUM(AF54:AF57)-AF58</f>
        <v/>
      </c>
      <c r="AG59" s="15">
        <f>SUM(AG54:AG57)-AG58</f>
        <v/>
      </c>
      <c r="AH59" s="15">
        <f>SUM(AH54:AH57)-AH58</f>
        <v/>
      </c>
      <c r="AI59" s="15">
        <f>SUM(AI54:AI57)-AI58</f>
        <v/>
      </c>
      <c r="AJ59" s="15">
        <f>SUM(AJ54:AJ57)-AJ58</f>
        <v/>
      </c>
      <c r="AK59" s="15">
        <f>SUM(AK54:AK57)-AK58</f>
        <v/>
      </c>
      <c r="AL59" s="15">
        <f>SUM(AL54:AL57)-AL58</f>
        <v/>
      </c>
      <c r="AM59" s="15">
        <f>SUM(AM54:AM57)-AM58</f>
        <v/>
      </c>
      <c r="AN59" s="15">
        <f>SUM(AN54:AN57)-AN58</f>
        <v/>
      </c>
      <c r="AO59" s="15">
        <f>SUM(AO54:AO57)-AO58</f>
        <v/>
      </c>
      <c r="AP59" s="15">
        <f>SUM(AP54:AP57)-AP58</f>
        <v/>
      </c>
      <c r="AQ59" s="15">
        <f>SUM(AQ54:AQ57)-AQ58</f>
        <v/>
      </c>
      <c r="AR59" s="15">
        <f>SUM(AR54:AR57)-AR58</f>
        <v/>
      </c>
      <c r="AS59" s="15">
        <f>SUM(AS54:AS57)-AS58</f>
        <v/>
      </c>
      <c r="AT59" s="15">
        <f>SUM(AT54:AT57)-AT58</f>
        <v/>
      </c>
      <c r="AU59" s="15">
        <f>SUM(AU54:AU57)-AU58</f>
        <v/>
      </c>
      <c r="AV59" s="15">
        <f>SUM(AV54:AV57)-AV58</f>
        <v/>
      </c>
      <c r="AW59" s="15">
        <f>SUM(AW54:AW57)-AW58</f>
        <v/>
      </c>
      <c r="AX59" s="15">
        <f>SUM(AX54:AX57)-AX58</f>
        <v/>
      </c>
    </row>
    <row r="61">
      <c r="A61" s="11">
        <f>CONCATENATE("ORG: ",Setup!$B$10)</f>
        <v/>
      </c>
      <c r="B61" s="12" t="n"/>
      <c r="C61" s="12" t="n"/>
      <c r="D61" s="12" t="n"/>
      <c r="E61" s="12" t="n"/>
      <c r="F61" s="12" t="n"/>
      <c r="G61" s="12" t="n"/>
      <c r="H61" s="12" t="n"/>
      <c r="I61" s="12" t="n"/>
      <c r="J61" s="12" t="n"/>
      <c r="K61" s="12" t="n"/>
      <c r="L61" s="12" t="n"/>
      <c r="M61" s="12" t="n"/>
      <c r="N61" s="12" t="n"/>
      <c r="O61" s="12" t="n"/>
      <c r="P61" s="12" t="n"/>
      <c r="Q61" s="12" t="n"/>
      <c r="R61" s="12" t="n"/>
      <c r="S61" s="12" t="n"/>
      <c r="T61" s="12" t="n"/>
      <c r="U61" s="12" t="n"/>
      <c r="V61" s="12" t="n"/>
      <c r="W61" s="12" t="n"/>
      <c r="X61" s="12" t="n"/>
      <c r="Y61" s="12" t="n"/>
      <c r="Z61" s="12" t="n"/>
      <c r="AA61" s="12" t="n"/>
      <c r="AB61" s="12" t="n"/>
      <c r="AC61" s="12" t="n"/>
      <c r="AD61" s="12" t="n"/>
      <c r="AE61" s="12" t="n"/>
      <c r="AF61" s="12" t="n"/>
      <c r="AG61" s="12" t="n"/>
      <c r="AH61" s="12" t="n"/>
      <c r="AI61" s="12" t="n"/>
      <c r="AJ61" s="12" t="n"/>
      <c r="AK61" s="12" t="n"/>
      <c r="AL61" s="12" t="n"/>
      <c r="AM61" s="12" t="n"/>
      <c r="AN61" s="12" t="n"/>
      <c r="AO61" s="12" t="n"/>
      <c r="AP61" s="12" t="n"/>
      <c r="AQ61" s="12" t="n"/>
      <c r="AR61" s="12" t="n"/>
      <c r="AS61" s="12" t="n"/>
      <c r="AT61" s="12" t="n"/>
      <c r="AU61" s="12" t="n"/>
      <c r="AV61" s="12" t="n"/>
      <c r="AW61" s="12" t="n"/>
      <c r="AX61" s="12" t="n"/>
    </row>
    <row r="62">
      <c r="A62" t="inlineStr">
        <is>
          <t>India hires (heads)</t>
        </is>
      </c>
      <c r="C62" s="13" t="n">
        <v>4</v>
      </c>
      <c r="D62" s="13" t="n">
        <v>4</v>
      </c>
      <c r="E62" s="13" t="n">
        <v>4</v>
      </c>
      <c r="F62" s="13" t="n">
        <v>4</v>
      </c>
      <c r="G62" s="13" t="n">
        <v>4</v>
      </c>
      <c r="H62" s="13" t="n">
        <v>4</v>
      </c>
      <c r="I62" s="13" t="n">
        <v>4</v>
      </c>
      <c r="J62" s="13" t="n">
        <v>4</v>
      </c>
      <c r="K62" s="13" t="n">
        <v>4</v>
      </c>
      <c r="L62" s="13" t="n">
        <v>4</v>
      </c>
      <c r="M62" s="13" t="n">
        <v>4</v>
      </c>
      <c r="N62" s="13" t="n">
        <v>4</v>
      </c>
      <c r="O62" s="13" t="n">
        <v>7</v>
      </c>
      <c r="P62" s="13" t="n">
        <v>7</v>
      </c>
      <c r="Q62" s="13" t="n">
        <v>7</v>
      </c>
      <c r="R62" s="13" t="n">
        <v>7</v>
      </c>
      <c r="S62" s="13" t="n">
        <v>7</v>
      </c>
      <c r="T62" s="13" t="n">
        <v>7</v>
      </c>
      <c r="U62" s="13" t="n">
        <v>7</v>
      </c>
      <c r="V62" s="13" t="n">
        <v>7</v>
      </c>
      <c r="W62" s="13" t="n">
        <v>7</v>
      </c>
      <c r="X62" s="13" t="n">
        <v>7</v>
      </c>
      <c r="Y62" s="13" t="n">
        <v>7</v>
      </c>
      <c r="Z62" s="13" t="n">
        <v>7</v>
      </c>
      <c r="AA62" s="13" t="n">
        <v>0</v>
      </c>
      <c r="AB62" s="13" t="n">
        <v>0</v>
      </c>
      <c r="AC62" s="13" t="n">
        <v>0</v>
      </c>
      <c r="AD62" s="13" t="n">
        <v>0</v>
      </c>
      <c r="AE62" s="13" t="n">
        <v>0</v>
      </c>
      <c r="AF62" s="13" t="n">
        <v>0</v>
      </c>
      <c r="AG62" s="13" t="n">
        <v>0</v>
      </c>
      <c r="AH62" s="13" t="n">
        <v>0</v>
      </c>
      <c r="AI62" s="13" t="n">
        <v>0</v>
      </c>
      <c r="AJ62" s="13" t="n">
        <v>0</v>
      </c>
      <c r="AK62" s="13" t="n">
        <v>0</v>
      </c>
      <c r="AL62" s="13" t="n">
        <v>0</v>
      </c>
      <c r="AM62" s="13" t="n">
        <v>0</v>
      </c>
      <c r="AN62" s="13" t="n">
        <v>0</v>
      </c>
      <c r="AO62" s="13" t="n">
        <v>0</v>
      </c>
      <c r="AP62" s="13" t="n">
        <v>0</v>
      </c>
      <c r="AQ62" s="13" t="n">
        <v>0</v>
      </c>
      <c r="AR62" s="13" t="n">
        <v>0</v>
      </c>
      <c r="AS62" s="13" t="n">
        <v>0</v>
      </c>
      <c r="AT62" s="13" t="n">
        <v>0</v>
      </c>
      <c r="AU62" s="13" t="n">
        <v>0</v>
      </c>
      <c r="AV62" s="13" t="n">
        <v>0</v>
      </c>
      <c r="AW62" s="13" t="n">
        <v>0</v>
      </c>
      <c r="AX62" s="13" t="n">
        <v>0</v>
      </c>
    </row>
    <row r="63">
      <c r="A63" t="inlineStr">
        <is>
          <t>Reductions — Professional services ($K)</t>
        </is>
      </c>
      <c r="C63" s="14" t="n">
        <v>0</v>
      </c>
      <c r="D63" s="14" t="n">
        <v>0</v>
      </c>
      <c r="E63" s="14" t="n">
        <v>0</v>
      </c>
      <c r="F63" s="14" t="n">
        <v>0</v>
      </c>
      <c r="G63" s="14" t="n">
        <v>18</v>
      </c>
      <c r="H63" s="14" t="n">
        <v>35</v>
      </c>
      <c r="I63" s="14" t="n">
        <v>52</v>
      </c>
      <c r="J63" s="14" t="n">
        <v>70</v>
      </c>
      <c r="K63" s="14" t="n">
        <v>88</v>
      </c>
      <c r="L63" s="14" t="n">
        <v>105</v>
      </c>
      <c r="M63" s="14" t="n">
        <v>122</v>
      </c>
      <c r="N63" s="14" t="n">
        <v>140</v>
      </c>
      <c r="O63" s="14" t="n">
        <v>158</v>
      </c>
      <c r="P63" s="14" t="n">
        <v>175</v>
      </c>
      <c r="Q63" s="14" t="n">
        <v>192</v>
      </c>
      <c r="R63" s="14" t="n">
        <v>210</v>
      </c>
      <c r="S63" s="14" t="n">
        <v>227</v>
      </c>
      <c r="T63" s="14" t="n">
        <v>245</v>
      </c>
      <c r="U63" s="14" t="n">
        <v>262</v>
      </c>
      <c r="V63" s="14" t="n">
        <v>280</v>
      </c>
      <c r="W63" s="14" t="n">
        <v>298</v>
      </c>
      <c r="X63" s="14" t="n">
        <v>315</v>
      </c>
      <c r="Y63" s="14" t="n">
        <v>332</v>
      </c>
      <c r="Z63" s="14" t="n">
        <v>350</v>
      </c>
      <c r="AA63" s="14" t="n">
        <v>368</v>
      </c>
      <c r="AB63" s="14" t="n">
        <v>385</v>
      </c>
      <c r="AC63" s="14" t="n">
        <v>402</v>
      </c>
      <c r="AD63" s="14" t="n">
        <v>420</v>
      </c>
      <c r="AE63" s="14" t="n">
        <v>420</v>
      </c>
      <c r="AF63" s="14" t="n">
        <v>420</v>
      </c>
      <c r="AG63" s="14" t="n">
        <v>420</v>
      </c>
      <c r="AH63" s="14" t="n">
        <v>420</v>
      </c>
      <c r="AI63" s="14" t="n">
        <v>420</v>
      </c>
      <c r="AJ63" s="14" t="n">
        <v>420</v>
      </c>
      <c r="AK63" s="14" t="n">
        <v>420</v>
      </c>
      <c r="AL63" s="14" t="n">
        <v>420</v>
      </c>
      <c r="AM63" s="14" t="n">
        <v>420</v>
      </c>
      <c r="AN63" s="14" t="n">
        <v>420</v>
      </c>
      <c r="AO63" s="14" t="n">
        <v>420</v>
      </c>
      <c r="AP63" s="14" t="n">
        <v>420</v>
      </c>
      <c r="AQ63" s="14" t="n">
        <v>420</v>
      </c>
      <c r="AR63" s="14" t="n">
        <v>420</v>
      </c>
      <c r="AS63" s="14" t="n">
        <v>420</v>
      </c>
      <c r="AT63" s="14" t="n">
        <v>420</v>
      </c>
      <c r="AU63" s="14" t="n">
        <v>420</v>
      </c>
      <c r="AV63" s="14" t="n">
        <v>420</v>
      </c>
      <c r="AW63" s="14" t="n">
        <v>420</v>
      </c>
      <c r="AX63" s="14" t="n">
        <v>420</v>
      </c>
    </row>
    <row r="64">
      <c r="A64" t="inlineStr">
        <is>
          <t>Reductions — Offshore contractors ($K)</t>
        </is>
      </c>
      <c r="C64" s="14" t="n">
        <v>0</v>
      </c>
      <c r="D64" s="14" t="n">
        <v>0</v>
      </c>
      <c r="E64" s="14" t="n">
        <v>0</v>
      </c>
      <c r="F64" s="14" t="n">
        <v>0</v>
      </c>
      <c r="G64" s="14" t="n">
        <v>0</v>
      </c>
      <c r="H64" s="14" t="n">
        <v>0</v>
      </c>
      <c r="I64" s="14" t="n">
        <v>0</v>
      </c>
      <c r="J64" s="14" t="n">
        <v>7</v>
      </c>
      <c r="K64" s="14" t="n">
        <v>14</v>
      </c>
      <c r="L64" s="14" t="n">
        <v>21</v>
      </c>
      <c r="M64" s="14" t="n">
        <v>28</v>
      </c>
      <c r="N64" s="14" t="n">
        <v>35</v>
      </c>
      <c r="O64" s="14" t="n">
        <v>42</v>
      </c>
      <c r="P64" s="14" t="n">
        <v>49</v>
      </c>
      <c r="Q64" s="14" t="n">
        <v>56</v>
      </c>
      <c r="R64" s="14" t="n">
        <v>63</v>
      </c>
      <c r="S64" s="14" t="n">
        <v>70</v>
      </c>
      <c r="T64" s="14" t="n">
        <v>77</v>
      </c>
      <c r="U64" s="14" t="n">
        <v>84</v>
      </c>
      <c r="V64" s="14" t="n">
        <v>91</v>
      </c>
      <c r="W64" s="14" t="n">
        <v>98</v>
      </c>
      <c r="X64" s="14" t="n">
        <v>105</v>
      </c>
      <c r="Y64" s="14" t="n">
        <v>112</v>
      </c>
      <c r="Z64" s="14" t="n">
        <v>119</v>
      </c>
      <c r="AA64" s="14" t="n">
        <v>126</v>
      </c>
      <c r="AB64" s="14" t="n">
        <v>133</v>
      </c>
      <c r="AC64" s="14" t="n">
        <v>140</v>
      </c>
      <c r="AD64" s="14" t="n">
        <v>147</v>
      </c>
      <c r="AE64" s="14" t="n">
        <v>154</v>
      </c>
      <c r="AF64" s="14" t="n">
        <v>161</v>
      </c>
      <c r="AG64" s="14" t="n">
        <v>168</v>
      </c>
      <c r="AH64" s="14" t="n">
        <v>175</v>
      </c>
      <c r="AI64" s="14" t="n">
        <v>175</v>
      </c>
      <c r="AJ64" s="14" t="n">
        <v>175</v>
      </c>
      <c r="AK64" s="14" t="n">
        <v>175</v>
      </c>
      <c r="AL64" s="14" t="n">
        <v>175</v>
      </c>
      <c r="AM64" s="14" t="n">
        <v>175</v>
      </c>
      <c r="AN64" s="14" t="n">
        <v>175</v>
      </c>
      <c r="AO64" s="14" t="n">
        <v>175</v>
      </c>
      <c r="AP64" s="14" t="n">
        <v>175</v>
      </c>
      <c r="AQ64" s="14" t="n">
        <v>175</v>
      </c>
      <c r="AR64" s="14" t="n">
        <v>175</v>
      </c>
      <c r="AS64" s="14" t="n">
        <v>175</v>
      </c>
      <c r="AT64" s="14" t="n">
        <v>175</v>
      </c>
      <c r="AU64" s="14" t="n">
        <v>175</v>
      </c>
      <c r="AV64" s="14" t="n">
        <v>175</v>
      </c>
      <c r="AW64" s="14" t="n">
        <v>175</v>
      </c>
      <c r="AX64" s="14" t="n">
        <v>175</v>
      </c>
    </row>
    <row r="65">
      <c r="A65" t="inlineStr">
        <is>
          <t>Reductions — Onshore contractors ($K)</t>
        </is>
      </c>
      <c r="C65" s="14" t="n">
        <v>0</v>
      </c>
      <c r="D65" s="14" t="n">
        <v>0</v>
      </c>
      <c r="E65" s="14" t="n">
        <v>0</v>
      </c>
      <c r="F65" s="14" t="n">
        <v>0</v>
      </c>
      <c r="G65" s="14" t="n">
        <v>0</v>
      </c>
      <c r="H65" s="14" t="n">
        <v>0</v>
      </c>
      <c r="I65" s="14" t="n">
        <v>0</v>
      </c>
      <c r="J65" s="14" t="n">
        <v>6</v>
      </c>
      <c r="K65" s="14" t="n">
        <v>11</v>
      </c>
      <c r="L65" s="14" t="n">
        <v>17</v>
      </c>
      <c r="M65" s="14" t="n">
        <v>22</v>
      </c>
      <c r="N65" s="14" t="n">
        <v>28</v>
      </c>
      <c r="O65" s="14" t="n">
        <v>34</v>
      </c>
      <c r="P65" s="14" t="n">
        <v>39</v>
      </c>
      <c r="Q65" s="14" t="n">
        <v>45</v>
      </c>
      <c r="R65" s="14" t="n">
        <v>50</v>
      </c>
      <c r="S65" s="14" t="n">
        <v>56</v>
      </c>
      <c r="T65" s="14" t="n">
        <v>62</v>
      </c>
      <c r="U65" s="14" t="n">
        <v>67</v>
      </c>
      <c r="V65" s="14" t="n">
        <v>73</v>
      </c>
      <c r="W65" s="14" t="n">
        <v>78</v>
      </c>
      <c r="X65" s="14" t="n">
        <v>84</v>
      </c>
      <c r="Y65" s="14" t="n">
        <v>90</v>
      </c>
      <c r="Z65" s="14" t="n">
        <v>95</v>
      </c>
      <c r="AA65" s="14" t="n">
        <v>101</v>
      </c>
      <c r="AB65" s="14" t="n">
        <v>106</v>
      </c>
      <c r="AC65" s="14" t="n">
        <v>112</v>
      </c>
      <c r="AD65" s="14" t="n">
        <v>118</v>
      </c>
      <c r="AE65" s="14" t="n">
        <v>123</v>
      </c>
      <c r="AF65" s="14" t="n">
        <v>129</v>
      </c>
      <c r="AG65" s="14" t="n">
        <v>134</v>
      </c>
      <c r="AH65" s="14" t="n">
        <v>140</v>
      </c>
      <c r="AI65" s="14" t="n">
        <v>140</v>
      </c>
      <c r="AJ65" s="14" t="n">
        <v>140</v>
      </c>
      <c r="AK65" s="14" t="n">
        <v>140</v>
      </c>
      <c r="AL65" s="14" t="n">
        <v>140</v>
      </c>
      <c r="AM65" s="14" t="n">
        <v>140</v>
      </c>
      <c r="AN65" s="14" t="n">
        <v>140</v>
      </c>
      <c r="AO65" s="14" t="n">
        <v>140</v>
      </c>
      <c r="AP65" s="14" t="n">
        <v>140</v>
      </c>
      <c r="AQ65" s="14" t="n">
        <v>140</v>
      </c>
      <c r="AR65" s="14" t="n">
        <v>140</v>
      </c>
      <c r="AS65" s="14" t="n">
        <v>140</v>
      </c>
      <c r="AT65" s="14" t="n">
        <v>140</v>
      </c>
      <c r="AU65" s="14" t="n">
        <v>140</v>
      </c>
      <c r="AV65" s="14" t="n">
        <v>140</v>
      </c>
      <c r="AW65" s="14" t="n">
        <v>140</v>
      </c>
      <c r="AX65" s="14" t="n">
        <v>140</v>
      </c>
    </row>
    <row r="66">
      <c r="A66" t="inlineStr">
        <is>
          <t>Reductions — Employees / Other ($K)</t>
        </is>
      </c>
      <c r="C66" s="14" t="n">
        <v>0</v>
      </c>
      <c r="D66" s="14" t="n">
        <v>0</v>
      </c>
      <c r="E66" s="14" t="n">
        <v>0</v>
      </c>
      <c r="F66" s="14" t="n">
        <v>0</v>
      </c>
      <c r="G66" s="14" t="n">
        <v>0</v>
      </c>
      <c r="H66" s="14" t="n">
        <v>0</v>
      </c>
      <c r="I66" s="14" t="n">
        <v>0</v>
      </c>
      <c r="J66" s="14" t="n">
        <v>0</v>
      </c>
      <c r="K66" s="14" t="n">
        <v>0</v>
      </c>
      <c r="L66" s="14" t="n">
        <v>0</v>
      </c>
      <c r="M66" s="14" t="n">
        <v>3</v>
      </c>
      <c r="N66" s="14" t="n">
        <v>6</v>
      </c>
      <c r="O66" s="14" t="n">
        <v>8</v>
      </c>
      <c r="P66" s="14" t="n">
        <v>11</v>
      </c>
      <c r="Q66" s="14" t="n">
        <v>14</v>
      </c>
      <c r="R66" s="14" t="n">
        <v>17</v>
      </c>
      <c r="S66" s="14" t="n">
        <v>20</v>
      </c>
      <c r="T66" s="14" t="n">
        <v>22</v>
      </c>
      <c r="U66" s="14" t="n">
        <v>25</v>
      </c>
      <c r="V66" s="14" t="n">
        <v>28</v>
      </c>
      <c r="W66" s="14" t="n">
        <v>31</v>
      </c>
      <c r="X66" s="14" t="n">
        <v>34</v>
      </c>
      <c r="Y66" s="14" t="n">
        <v>36</v>
      </c>
      <c r="Z66" s="14" t="n">
        <v>39</v>
      </c>
      <c r="AA66" s="14" t="n">
        <v>42</v>
      </c>
      <c r="AB66" s="14" t="n">
        <v>45</v>
      </c>
      <c r="AC66" s="14" t="n">
        <v>48</v>
      </c>
      <c r="AD66" s="14" t="n">
        <v>50</v>
      </c>
      <c r="AE66" s="14" t="n">
        <v>53</v>
      </c>
      <c r="AF66" s="14" t="n">
        <v>56</v>
      </c>
      <c r="AG66" s="14" t="n">
        <v>59</v>
      </c>
      <c r="AH66" s="14" t="n">
        <v>62</v>
      </c>
      <c r="AI66" s="14" t="n">
        <v>64</v>
      </c>
      <c r="AJ66" s="14" t="n">
        <v>67</v>
      </c>
      <c r="AK66" s="14" t="n">
        <v>70</v>
      </c>
      <c r="AL66" s="14" t="n">
        <v>70</v>
      </c>
      <c r="AM66" s="14" t="n">
        <v>70</v>
      </c>
      <c r="AN66" s="14" t="n">
        <v>70</v>
      </c>
      <c r="AO66" s="14" t="n">
        <v>70</v>
      </c>
      <c r="AP66" s="14" t="n">
        <v>70</v>
      </c>
      <c r="AQ66" s="14" t="n">
        <v>70</v>
      </c>
      <c r="AR66" s="14" t="n">
        <v>70</v>
      </c>
      <c r="AS66" s="14" t="n">
        <v>70</v>
      </c>
      <c r="AT66" s="14" t="n">
        <v>70</v>
      </c>
      <c r="AU66" s="14" t="n">
        <v>70</v>
      </c>
      <c r="AV66" s="14" t="n">
        <v>70</v>
      </c>
      <c r="AW66" s="14" t="n">
        <v>70</v>
      </c>
      <c r="AX66" s="14" t="n">
        <v>70</v>
      </c>
    </row>
    <row r="67">
      <c r="A67" t="inlineStr">
        <is>
          <t>India cost adds ($K)</t>
        </is>
      </c>
      <c r="C67" s="14" t="n">
        <v>15</v>
      </c>
      <c r="D67" s="14" t="n">
        <v>30</v>
      </c>
      <c r="E67" s="14" t="n">
        <v>45</v>
      </c>
      <c r="F67" s="14" t="n">
        <v>60</v>
      </c>
      <c r="G67" s="14" t="n">
        <v>75</v>
      </c>
      <c r="H67" s="14" t="n">
        <v>90</v>
      </c>
      <c r="I67" s="14" t="n">
        <v>105</v>
      </c>
      <c r="J67" s="14" t="n">
        <v>120</v>
      </c>
      <c r="K67" s="14" t="n">
        <v>135</v>
      </c>
      <c r="L67" s="14" t="n">
        <v>150</v>
      </c>
      <c r="M67" s="14" t="n">
        <v>165</v>
      </c>
      <c r="N67" s="14" t="n">
        <v>180</v>
      </c>
      <c r="O67" s="14" t="n">
        <v>206</v>
      </c>
      <c r="P67" s="14" t="n">
        <v>232</v>
      </c>
      <c r="Q67" s="14" t="n">
        <v>259</v>
      </c>
      <c r="R67" s="14" t="n">
        <v>285</v>
      </c>
      <c r="S67" s="14" t="n">
        <v>311</v>
      </c>
      <c r="T67" s="14" t="n">
        <v>338</v>
      </c>
      <c r="U67" s="14" t="n">
        <v>364</v>
      </c>
      <c r="V67" s="14" t="n">
        <v>390</v>
      </c>
      <c r="W67" s="14" t="n">
        <v>416</v>
      </c>
      <c r="X67" s="14" t="n">
        <v>442</v>
      </c>
      <c r="Y67" s="14" t="n">
        <v>469</v>
      </c>
      <c r="Z67" s="14" t="n">
        <v>495</v>
      </c>
      <c r="AA67" s="14" t="n">
        <v>495</v>
      </c>
      <c r="AB67" s="14" t="n">
        <v>495</v>
      </c>
      <c r="AC67" s="14" t="n">
        <v>495</v>
      </c>
      <c r="AD67" s="14" t="n">
        <v>495</v>
      </c>
      <c r="AE67" s="14" t="n">
        <v>495</v>
      </c>
      <c r="AF67" s="14" t="n">
        <v>495</v>
      </c>
      <c r="AG67" s="14" t="n">
        <v>495</v>
      </c>
      <c r="AH67" s="14" t="n">
        <v>495</v>
      </c>
      <c r="AI67" s="14" t="n">
        <v>495</v>
      </c>
      <c r="AJ67" s="14" t="n">
        <v>495</v>
      </c>
      <c r="AK67" s="14" t="n">
        <v>495</v>
      </c>
      <c r="AL67" s="14" t="n">
        <v>495</v>
      </c>
      <c r="AM67" s="14" t="n">
        <v>495</v>
      </c>
      <c r="AN67" s="14" t="n">
        <v>495</v>
      </c>
      <c r="AO67" s="14" t="n">
        <v>495</v>
      </c>
      <c r="AP67" s="14" t="n">
        <v>495</v>
      </c>
      <c r="AQ67" s="14" t="n">
        <v>495</v>
      </c>
      <c r="AR67" s="14" t="n">
        <v>495</v>
      </c>
      <c r="AS67" s="14" t="n">
        <v>495</v>
      </c>
      <c r="AT67" s="14" t="n">
        <v>495</v>
      </c>
      <c r="AU67" s="14" t="n">
        <v>495</v>
      </c>
      <c r="AV67" s="14" t="n">
        <v>495</v>
      </c>
      <c r="AW67" s="14" t="n">
        <v>495</v>
      </c>
      <c r="AX67" s="14" t="n">
        <v>495</v>
      </c>
    </row>
    <row r="68">
      <c r="A68" s="8" t="inlineStr">
        <is>
          <t>Net labor arbitrage ($K)</t>
        </is>
      </c>
      <c r="C68" s="15">
        <f>SUM(C63:C66)-C67</f>
        <v/>
      </c>
      <c r="D68" s="15">
        <f>SUM(D63:D66)-D67</f>
        <v/>
      </c>
      <c r="E68" s="15">
        <f>SUM(E63:E66)-E67</f>
        <v/>
      </c>
      <c r="F68" s="15">
        <f>SUM(F63:F66)-F67</f>
        <v/>
      </c>
      <c r="G68" s="15">
        <f>SUM(G63:G66)-G67</f>
        <v/>
      </c>
      <c r="H68" s="15">
        <f>SUM(H63:H66)-H67</f>
        <v/>
      </c>
      <c r="I68" s="15">
        <f>SUM(I63:I66)-I67</f>
        <v/>
      </c>
      <c r="J68" s="15">
        <f>SUM(J63:J66)-J67</f>
        <v/>
      </c>
      <c r="K68" s="15">
        <f>SUM(K63:K66)-K67</f>
        <v/>
      </c>
      <c r="L68" s="15">
        <f>SUM(L63:L66)-L67</f>
        <v/>
      </c>
      <c r="M68" s="15">
        <f>SUM(M63:M66)-M67</f>
        <v/>
      </c>
      <c r="N68" s="15">
        <f>SUM(N63:N66)-N67</f>
        <v/>
      </c>
      <c r="O68" s="15">
        <f>SUM(O63:O66)-O67</f>
        <v/>
      </c>
      <c r="P68" s="15">
        <f>SUM(P63:P66)-P67</f>
        <v/>
      </c>
      <c r="Q68" s="15">
        <f>SUM(Q63:Q66)-Q67</f>
        <v/>
      </c>
      <c r="R68" s="15">
        <f>SUM(R63:R66)-R67</f>
        <v/>
      </c>
      <c r="S68" s="15">
        <f>SUM(S63:S66)-S67</f>
        <v/>
      </c>
      <c r="T68" s="15">
        <f>SUM(T63:T66)-T67</f>
        <v/>
      </c>
      <c r="U68" s="15">
        <f>SUM(U63:U66)-U67</f>
        <v/>
      </c>
      <c r="V68" s="15">
        <f>SUM(V63:V66)-V67</f>
        <v/>
      </c>
      <c r="W68" s="15">
        <f>SUM(W63:W66)-W67</f>
        <v/>
      </c>
      <c r="X68" s="15">
        <f>SUM(X63:X66)-X67</f>
        <v/>
      </c>
      <c r="Y68" s="15">
        <f>SUM(Y63:Y66)-Y67</f>
        <v/>
      </c>
      <c r="Z68" s="15">
        <f>SUM(Z63:Z66)-Z67</f>
        <v/>
      </c>
      <c r="AA68" s="15">
        <f>SUM(AA63:AA66)-AA67</f>
        <v/>
      </c>
      <c r="AB68" s="15">
        <f>SUM(AB63:AB66)-AB67</f>
        <v/>
      </c>
      <c r="AC68" s="15">
        <f>SUM(AC63:AC66)-AC67</f>
        <v/>
      </c>
      <c r="AD68" s="15">
        <f>SUM(AD63:AD66)-AD67</f>
        <v/>
      </c>
      <c r="AE68" s="15">
        <f>SUM(AE63:AE66)-AE67</f>
        <v/>
      </c>
      <c r="AF68" s="15">
        <f>SUM(AF63:AF66)-AF67</f>
        <v/>
      </c>
      <c r="AG68" s="15">
        <f>SUM(AG63:AG66)-AG67</f>
        <v/>
      </c>
      <c r="AH68" s="15">
        <f>SUM(AH63:AH66)-AH67</f>
        <v/>
      </c>
      <c r="AI68" s="15">
        <f>SUM(AI63:AI66)-AI67</f>
        <v/>
      </c>
      <c r="AJ68" s="15">
        <f>SUM(AJ63:AJ66)-AJ67</f>
        <v/>
      </c>
      <c r="AK68" s="15">
        <f>SUM(AK63:AK66)-AK67</f>
        <v/>
      </c>
      <c r="AL68" s="15">
        <f>SUM(AL63:AL66)-AL67</f>
        <v/>
      </c>
      <c r="AM68" s="15">
        <f>SUM(AM63:AM66)-AM67</f>
        <v/>
      </c>
      <c r="AN68" s="15">
        <f>SUM(AN63:AN66)-AN67</f>
        <v/>
      </c>
      <c r="AO68" s="15">
        <f>SUM(AO63:AO66)-AO67</f>
        <v/>
      </c>
      <c r="AP68" s="15">
        <f>SUM(AP63:AP66)-AP67</f>
        <v/>
      </c>
      <c r="AQ68" s="15">
        <f>SUM(AQ63:AQ66)-AQ67</f>
        <v/>
      </c>
      <c r="AR68" s="15">
        <f>SUM(AR63:AR66)-AR67</f>
        <v/>
      </c>
      <c r="AS68" s="15">
        <f>SUM(AS63:AS66)-AS67</f>
        <v/>
      </c>
      <c r="AT68" s="15">
        <f>SUM(AT63:AT66)-AT67</f>
        <v/>
      </c>
      <c r="AU68" s="15">
        <f>SUM(AU63:AU66)-AU67</f>
        <v/>
      </c>
      <c r="AV68" s="15">
        <f>SUM(AV63:AV66)-AV67</f>
        <v/>
      </c>
      <c r="AW68" s="15">
        <f>SUM(AW63:AW66)-AW67</f>
        <v/>
      </c>
      <c r="AX68" s="15">
        <f>SUM(AX63:AX66)-AX67</f>
        <v/>
      </c>
    </row>
    <row r="70">
      <c r="A70" s="11">
        <f>CONCATENATE("ORG: ",Setup!$B$11)</f>
        <v/>
      </c>
      <c r="B70" s="12" t="n"/>
      <c r="C70" s="12" t="n"/>
      <c r="D70" s="12" t="n"/>
      <c r="E70" s="12" t="n"/>
      <c r="F70" s="12" t="n"/>
      <c r="G70" s="12" t="n"/>
      <c r="H70" s="12" t="n"/>
      <c r="I70" s="12" t="n"/>
      <c r="J70" s="12" t="n"/>
      <c r="K70" s="12" t="n"/>
      <c r="L70" s="12" t="n"/>
      <c r="M70" s="12" t="n"/>
      <c r="N70" s="12" t="n"/>
      <c r="O70" s="12" t="n"/>
      <c r="P70" s="12" t="n"/>
      <c r="Q70" s="12" t="n"/>
      <c r="R70" s="12" t="n"/>
      <c r="S70" s="12" t="n"/>
      <c r="T70" s="12" t="n"/>
      <c r="U70" s="12" t="n"/>
      <c r="V70" s="12" t="n"/>
      <c r="W70" s="12" t="n"/>
      <c r="X70" s="12" t="n"/>
      <c r="Y70" s="12" t="n"/>
      <c r="Z70" s="12" t="n"/>
      <c r="AA70" s="12" t="n"/>
      <c r="AB70" s="12" t="n"/>
      <c r="AC70" s="12" t="n"/>
      <c r="AD70" s="12" t="n"/>
      <c r="AE70" s="12" t="n"/>
      <c r="AF70" s="12" t="n"/>
      <c r="AG70" s="12" t="n"/>
      <c r="AH70" s="12" t="n"/>
      <c r="AI70" s="12" t="n"/>
      <c r="AJ70" s="12" t="n"/>
      <c r="AK70" s="12" t="n"/>
      <c r="AL70" s="12" t="n"/>
      <c r="AM70" s="12" t="n"/>
      <c r="AN70" s="12" t="n"/>
      <c r="AO70" s="12" t="n"/>
      <c r="AP70" s="12" t="n"/>
      <c r="AQ70" s="12" t="n"/>
      <c r="AR70" s="12" t="n"/>
      <c r="AS70" s="12" t="n"/>
      <c r="AT70" s="12" t="n"/>
      <c r="AU70" s="12" t="n"/>
      <c r="AV70" s="12" t="n"/>
      <c r="AW70" s="12" t="n"/>
      <c r="AX70" s="12" t="n"/>
    </row>
    <row r="71">
      <c r="A71" t="inlineStr">
        <is>
          <t>India hires (heads)</t>
        </is>
      </c>
      <c r="C71" s="13" t="n">
        <v>2</v>
      </c>
      <c r="D71" s="13" t="n">
        <v>2</v>
      </c>
      <c r="E71" s="13" t="n">
        <v>2</v>
      </c>
      <c r="F71" s="13" t="n">
        <v>2</v>
      </c>
      <c r="G71" s="13" t="n">
        <v>2</v>
      </c>
      <c r="H71" s="13" t="n">
        <v>2</v>
      </c>
      <c r="I71" s="13" t="n">
        <v>2</v>
      </c>
      <c r="J71" s="13" t="n">
        <v>2</v>
      </c>
      <c r="K71" s="13" t="n">
        <v>2</v>
      </c>
      <c r="L71" s="13" t="n">
        <v>2</v>
      </c>
      <c r="M71" s="13" t="n">
        <v>2</v>
      </c>
      <c r="N71" s="13" t="n">
        <v>2</v>
      </c>
      <c r="O71" s="13" t="n">
        <v>3</v>
      </c>
      <c r="P71" s="13" t="n">
        <v>3</v>
      </c>
      <c r="Q71" s="13" t="n">
        <v>3</v>
      </c>
      <c r="R71" s="13" t="n">
        <v>3</v>
      </c>
      <c r="S71" s="13" t="n">
        <v>3</v>
      </c>
      <c r="T71" s="13" t="n">
        <v>3</v>
      </c>
      <c r="U71" s="13" t="n">
        <v>3</v>
      </c>
      <c r="V71" s="13" t="n">
        <v>3</v>
      </c>
      <c r="W71" s="13" t="n">
        <v>3</v>
      </c>
      <c r="X71" s="13" t="n">
        <v>3</v>
      </c>
      <c r="Y71" s="13" t="n">
        <v>3</v>
      </c>
      <c r="Z71" s="13" t="n">
        <v>3</v>
      </c>
      <c r="AA71" s="13" t="n">
        <v>0</v>
      </c>
      <c r="AB71" s="13" t="n">
        <v>0</v>
      </c>
      <c r="AC71" s="13" t="n">
        <v>0</v>
      </c>
      <c r="AD71" s="13" t="n">
        <v>0</v>
      </c>
      <c r="AE71" s="13" t="n">
        <v>0</v>
      </c>
      <c r="AF71" s="13" t="n">
        <v>0</v>
      </c>
      <c r="AG71" s="13" t="n">
        <v>0</v>
      </c>
      <c r="AH71" s="13" t="n">
        <v>0</v>
      </c>
      <c r="AI71" s="13" t="n">
        <v>0</v>
      </c>
      <c r="AJ71" s="13" t="n">
        <v>0</v>
      </c>
      <c r="AK71" s="13" t="n">
        <v>0</v>
      </c>
      <c r="AL71" s="13" t="n">
        <v>0</v>
      </c>
      <c r="AM71" s="13" t="n">
        <v>0</v>
      </c>
      <c r="AN71" s="13" t="n">
        <v>0</v>
      </c>
      <c r="AO71" s="13" t="n">
        <v>0</v>
      </c>
      <c r="AP71" s="13" t="n">
        <v>0</v>
      </c>
      <c r="AQ71" s="13" t="n">
        <v>0</v>
      </c>
      <c r="AR71" s="13" t="n">
        <v>0</v>
      </c>
      <c r="AS71" s="13" t="n">
        <v>0</v>
      </c>
      <c r="AT71" s="13" t="n">
        <v>0</v>
      </c>
      <c r="AU71" s="13" t="n">
        <v>0</v>
      </c>
      <c r="AV71" s="13" t="n">
        <v>0</v>
      </c>
      <c r="AW71" s="13" t="n">
        <v>0</v>
      </c>
      <c r="AX71" s="13" t="n">
        <v>0</v>
      </c>
    </row>
    <row r="72">
      <c r="A72" t="inlineStr">
        <is>
          <t>Reductions — Professional services ($K)</t>
        </is>
      </c>
      <c r="C72" s="14" t="n">
        <v>0</v>
      </c>
      <c r="D72" s="14" t="n">
        <v>0</v>
      </c>
      <c r="E72" s="14" t="n">
        <v>0</v>
      </c>
      <c r="F72" s="14" t="n">
        <v>0</v>
      </c>
      <c r="G72" s="14" t="n">
        <v>8</v>
      </c>
      <c r="H72" s="14" t="n">
        <v>15</v>
      </c>
      <c r="I72" s="14" t="n">
        <v>22</v>
      </c>
      <c r="J72" s="14" t="n">
        <v>30</v>
      </c>
      <c r="K72" s="14" t="n">
        <v>38</v>
      </c>
      <c r="L72" s="14" t="n">
        <v>45</v>
      </c>
      <c r="M72" s="14" t="n">
        <v>52</v>
      </c>
      <c r="N72" s="14" t="n">
        <v>60</v>
      </c>
      <c r="O72" s="14" t="n">
        <v>68</v>
      </c>
      <c r="P72" s="14" t="n">
        <v>75</v>
      </c>
      <c r="Q72" s="14" t="n">
        <v>82</v>
      </c>
      <c r="R72" s="14" t="n">
        <v>90</v>
      </c>
      <c r="S72" s="14" t="n">
        <v>98</v>
      </c>
      <c r="T72" s="14" t="n">
        <v>105</v>
      </c>
      <c r="U72" s="14" t="n">
        <v>112</v>
      </c>
      <c r="V72" s="14" t="n">
        <v>120</v>
      </c>
      <c r="W72" s="14" t="n">
        <v>128</v>
      </c>
      <c r="X72" s="14" t="n">
        <v>135</v>
      </c>
      <c r="Y72" s="14" t="n">
        <v>142</v>
      </c>
      <c r="Z72" s="14" t="n">
        <v>150</v>
      </c>
      <c r="AA72" s="14" t="n">
        <v>158</v>
      </c>
      <c r="AB72" s="14" t="n">
        <v>165</v>
      </c>
      <c r="AC72" s="14" t="n">
        <v>172</v>
      </c>
      <c r="AD72" s="14" t="n">
        <v>180</v>
      </c>
      <c r="AE72" s="14" t="n">
        <v>180</v>
      </c>
      <c r="AF72" s="14" t="n">
        <v>180</v>
      </c>
      <c r="AG72" s="14" t="n">
        <v>180</v>
      </c>
      <c r="AH72" s="14" t="n">
        <v>180</v>
      </c>
      <c r="AI72" s="14" t="n">
        <v>180</v>
      </c>
      <c r="AJ72" s="14" t="n">
        <v>180</v>
      </c>
      <c r="AK72" s="14" t="n">
        <v>180</v>
      </c>
      <c r="AL72" s="14" t="n">
        <v>180</v>
      </c>
      <c r="AM72" s="14" t="n">
        <v>180</v>
      </c>
      <c r="AN72" s="14" t="n">
        <v>180</v>
      </c>
      <c r="AO72" s="14" t="n">
        <v>180</v>
      </c>
      <c r="AP72" s="14" t="n">
        <v>180</v>
      </c>
      <c r="AQ72" s="14" t="n">
        <v>180</v>
      </c>
      <c r="AR72" s="14" t="n">
        <v>180</v>
      </c>
      <c r="AS72" s="14" t="n">
        <v>180</v>
      </c>
      <c r="AT72" s="14" t="n">
        <v>180</v>
      </c>
      <c r="AU72" s="14" t="n">
        <v>180</v>
      </c>
      <c r="AV72" s="14" t="n">
        <v>180</v>
      </c>
      <c r="AW72" s="14" t="n">
        <v>180</v>
      </c>
      <c r="AX72" s="14" t="n">
        <v>180</v>
      </c>
    </row>
    <row r="73">
      <c r="A73" t="inlineStr">
        <is>
          <t>Reductions — Offshore contractors ($K)</t>
        </is>
      </c>
      <c r="C73" s="14" t="n">
        <v>0</v>
      </c>
      <c r="D73" s="14" t="n">
        <v>0</v>
      </c>
      <c r="E73" s="14" t="n">
        <v>0</v>
      </c>
      <c r="F73" s="14" t="n">
        <v>0</v>
      </c>
      <c r="G73" s="14" t="n">
        <v>0</v>
      </c>
      <c r="H73" s="14" t="n">
        <v>0</v>
      </c>
      <c r="I73" s="14" t="n">
        <v>0</v>
      </c>
      <c r="J73" s="14" t="n">
        <v>3</v>
      </c>
      <c r="K73" s="14" t="n">
        <v>6</v>
      </c>
      <c r="L73" s="14" t="n">
        <v>9</v>
      </c>
      <c r="M73" s="14" t="n">
        <v>12</v>
      </c>
      <c r="N73" s="14" t="n">
        <v>15</v>
      </c>
      <c r="O73" s="14" t="n">
        <v>18</v>
      </c>
      <c r="P73" s="14" t="n">
        <v>21</v>
      </c>
      <c r="Q73" s="14" t="n">
        <v>24</v>
      </c>
      <c r="R73" s="14" t="n">
        <v>27</v>
      </c>
      <c r="S73" s="14" t="n">
        <v>30</v>
      </c>
      <c r="T73" s="14" t="n">
        <v>33</v>
      </c>
      <c r="U73" s="14" t="n">
        <v>36</v>
      </c>
      <c r="V73" s="14" t="n">
        <v>39</v>
      </c>
      <c r="W73" s="14" t="n">
        <v>42</v>
      </c>
      <c r="X73" s="14" t="n">
        <v>45</v>
      </c>
      <c r="Y73" s="14" t="n">
        <v>48</v>
      </c>
      <c r="Z73" s="14" t="n">
        <v>51</v>
      </c>
      <c r="AA73" s="14" t="n">
        <v>54</v>
      </c>
      <c r="AB73" s="14" t="n">
        <v>57</v>
      </c>
      <c r="AC73" s="14" t="n">
        <v>60</v>
      </c>
      <c r="AD73" s="14" t="n">
        <v>63</v>
      </c>
      <c r="AE73" s="14" t="n">
        <v>66</v>
      </c>
      <c r="AF73" s="14" t="n">
        <v>69</v>
      </c>
      <c r="AG73" s="14" t="n">
        <v>72</v>
      </c>
      <c r="AH73" s="14" t="n">
        <v>75</v>
      </c>
      <c r="AI73" s="14" t="n">
        <v>75</v>
      </c>
      <c r="AJ73" s="14" t="n">
        <v>75</v>
      </c>
      <c r="AK73" s="14" t="n">
        <v>75</v>
      </c>
      <c r="AL73" s="14" t="n">
        <v>75</v>
      </c>
      <c r="AM73" s="14" t="n">
        <v>75</v>
      </c>
      <c r="AN73" s="14" t="n">
        <v>75</v>
      </c>
      <c r="AO73" s="14" t="n">
        <v>75</v>
      </c>
      <c r="AP73" s="14" t="n">
        <v>75</v>
      </c>
      <c r="AQ73" s="14" t="n">
        <v>75</v>
      </c>
      <c r="AR73" s="14" t="n">
        <v>75</v>
      </c>
      <c r="AS73" s="14" t="n">
        <v>75</v>
      </c>
      <c r="AT73" s="14" t="n">
        <v>75</v>
      </c>
      <c r="AU73" s="14" t="n">
        <v>75</v>
      </c>
      <c r="AV73" s="14" t="n">
        <v>75</v>
      </c>
      <c r="AW73" s="14" t="n">
        <v>75</v>
      </c>
      <c r="AX73" s="14" t="n">
        <v>75</v>
      </c>
    </row>
    <row r="74">
      <c r="A74" t="inlineStr">
        <is>
          <t>Reductions — Onshore contractors ($K)</t>
        </is>
      </c>
      <c r="C74" s="14" t="n">
        <v>0</v>
      </c>
      <c r="D74" s="14" t="n">
        <v>0</v>
      </c>
      <c r="E74" s="14" t="n">
        <v>0</v>
      </c>
      <c r="F74" s="14" t="n">
        <v>0</v>
      </c>
      <c r="G74" s="14" t="n">
        <v>0</v>
      </c>
      <c r="H74" s="14" t="n">
        <v>0</v>
      </c>
      <c r="I74" s="14" t="n">
        <v>0</v>
      </c>
      <c r="J74" s="14" t="n">
        <v>2</v>
      </c>
      <c r="K74" s="14" t="n">
        <v>5</v>
      </c>
      <c r="L74" s="14" t="n">
        <v>7</v>
      </c>
      <c r="M74" s="14" t="n">
        <v>10</v>
      </c>
      <c r="N74" s="14" t="n">
        <v>12</v>
      </c>
      <c r="O74" s="14" t="n">
        <v>14</v>
      </c>
      <c r="P74" s="14" t="n">
        <v>17</v>
      </c>
      <c r="Q74" s="14" t="n">
        <v>19</v>
      </c>
      <c r="R74" s="14" t="n">
        <v>22</v>
      </c>
      <c r="S74" s="14" t="n">
        <v>24</v>
      </c>
      <c r="T74" s="14" t="n">
        <v>26</v>
      </c>
      <c r="U74" s="14" t="n">
        <v>29</v>
      </c>
      <c r="V74" s="14" t="n">
        <v>31</v>
      </c>
      <c r="W74" s="14" t="n">
        <v>34</v>
      </c>
      <c r="X74" s="14" t="n">
        <v>36</v>
      </c>
      <c r="Y74" s="14" t="n">
        <v>38</v>
      </c>
      <c r="Z74" s="14" t="n">
        <v>41</v>
      </c>
      <c r="AA74" s="14" t="n">
        <v>43</v>
      </c>
      <c r="AB74" s="14" t="n">
        <v>46</v>
      </c>
      <c r="AC74" s="14" t="n">
        <v>48</v>
      </c>
      <c r="AD74" s="14" t="n">
        <v>50</v>
      </c>
      <c r="AE74" s="14" t="n">
        <v>53</v>
      </c>
      <c r="AF74" s="14" t="n">
        <v>55</v>
      </c>
      <c r="AG74" s="14" t="n">
        <v>58</v>
      </c>
      <c r="AH74" s="14" t="n">
        <v>60</v>
      </c>
      <c r="AI74" s="14" t="n">
        <v>60</v>
      </c>
      <c r="AJ74" s="14" t="n">
        <v>60</v>
      </c>
      <c r="AK74" s="14" t="n">
        <v>60</v>
      </c>
      <c r="AL74" s="14" t="n">
        <v>60</v>
      </c>
      <c r="AM74" s="14" t="n">
        <v>60</v>
      </c>
      <c r="AN74" s="14" t="n">
        <v>60</v>
      </c>
      <c r="AO74" s="14" t="n">
        <v>60</v>
      </c>
      <c r="AP74" s="14" t="n">
        <v>60</v>
      </c>
      <c r="AQ74" s="14" t="n">
        <v>60</v>
      </c>
      <c r="AR74" s="14" t="n">
        <v>60</v>
      </c>
      <c r="AS74" s="14" t="n">
        <v>60</v>
      </c>
      <c r="AT74" s="14" t="n">
        <v>60</v>
      </c>
      <c r="AU74" s="14" t="n">
        <v>60</v>
      </c>
      <c r="AV74" s="14" t="n">
        <v>60</v>
      </c>
      <c r="AW74" s="14" t="n">
        <v>60</v>
      </c>
      <c r="AX74" s="14" t="n">
        <v>60</v>
      </c>
    </row>
    <row r="75">
      <c r="A75" t="inlineStr">
        <is>
          <t>Reductions — Employees / Other ($K)</t>
        </is>
      </c>
      <c r="C75" s="14" t="n">
        <v>0</v>
      </c>
      <c r="D75" s="14" t="n">
        <v>0</v>
      </c>
      <c r="E75" s="14" t="n">
        <v>0</v>
      </c>
      <c r="F75" s="14" t="n">
        <v>0</v>
      </c>
      <c r="G75" s="14" t="n">
        <v>0</v>
      </c>
      <c r="H75" s="14" t="n">
        <v>0</v>
      </c>
      <c r="I75" s="14" t="n">
        <v>0</v>
      </c>
      <c r="J75" s="14" t="n">
        <v>0</v>
      </c>
      <c r="K75" s="14" t="n">
        <v>0</v>
      </c>
      <c r="L75" s="14" t="n">
        <v>0</v>
      </c>
      <c r="M75" s="14" t="n">
        <v>1</v>
      </c>
      <c r="N75" s="14" t="n">
        <v>2</v>
      </c>
      <c r="O75" s="14" t="n">
        <v>4</v>
      </c>
      <c r="P75" s="14" t="n">
        <v>5</v>
      </c>
      <c r="Q75" s="14" t="n">
        <v>6</v>
      </c>
      <c r="R75" s="14" t="n">
        <v>7</v>
      </c>
      <c r="S75" s="14" t="n">
        <v>8</v>
      </c>
      <c r="T75" s="14" t="n">
        <v>10</v>
      </c>
      <c r="U75" s="14" t="n">
        <v>11</v>
      </c>
      <c r="V75" s="14" t="n">
        <v>12</v>
      </c>
      <c r="W75" s="14" t="n">
        <v>13</v>
      </c>
      <c r="X75" s="14" t="n">
        <v>14</v>
      </c>
      <c r="Y75" s="14" t="n">
        <v>16</v>
      </c>
      <c r="Z75" s="14" t="n">
        <v>17</v>
      </c>
      <c r="AA75" s="14" t="n">
        <v>18</v>
      </c>
      <c r="AB75" s="14" t="n">
        <v>19</v>
      </c>
      <c r="AC75" s="14" t="n">
        <v>20</v>
      </c>
      <c r="AD75" s="14" t="n">
        <v>22</v>
      </c>
      <c r="AE75" s="14" t="n">
        <v>23</v>
      </c>
      <c r="AF75" s="14" t="n">
        <v>24</v>
      </c>
      <c r="AG75" s="14" t="n">
        <v>25</v>
      </c>
      <c r="AH75" s="14" t="n">
        <v>26</v>
      </c>
      <c r="AI75" s="14" t="n">
        <v>28</v>
      </c>
      <c r="AJ75" s="14" t="n">
        <v>29</v>
      </c>
      <c r="AK75" s="14" t="n">
        <v>30</v>
      </c>
      <c r="AL75" s="14" t="n">
        <v>30</v>
      </c>
      <c r="AM75" s="14" t="n">
        <v>30</v>
      </c>
      <c r="AN75" s="14" t="n">
        <v>30</v>
      </c>
      <c r="AO75" s="14" t="n">
        <v>30</v>
      </c>
      <c r="AP75" s="14" t="n">
        <v>30</v>
      </c>
      <c r="AQ75" s="14" t="n">
        <v>30</v>
      </c>
      <c r="AR75" s="14" t="n">
        <v>30</v>
      </c>
      <c r="AS75" s="14" t="n">
        <v>30</v>
      </c>
      <c r="AT75" s="14" t="n">
        <v>30</v>
      </c>
      <c r="AU75" s="14" t="n">
        <v>30</v>
      </c>
      <c r="AV75" s="14" t="n">
        <v>30</v>
      </c>
      <c r="AW75" s="14" t="n">
        <v>30</v>
      </c>
      <c r="AX75" s="14" t="n">
        <v>30</v>
      </c>
    </row>
    <row r="76">
      <c r="A76" t="inlineStr">
        <is>
          <t>India cost adds ($K)</t>
        </is>
      </c>
      <c r="C76" s="14" t="n">
        <v>8</v>
      </c>
      <c r="D76" s="14" t="n">
        <v>15</v>
      </c>
      <c r="E76" s="14" t="n">
        <v>22</v>
      </c>
      <c r="F76" s="14" t="n">
        <v>30</v>
      </c>
      <c r="G76" s="14" t="n">
        <v>38</v>
      </c>
      <c r="H76" s="14" t="n">
        <v>45</v>
      </c>
      <c r="I76" s="14" t="n">
        <v>52</v>
      </c>
      <c r="J76" s="14" t="n">
        <v>60</v>
      </c>
      <c r="K76" s="14" t="n">
        <v>68</v>
      </c>
      <c r="L76" s="14" t="n">
        <v>75</v>
      </c>
      <c r="M76" s="14" t="n">
        <v>82</v>
      </c>
      <c r="N76" s="14" t="n">
        <v>90</v>
      </c>
      <c r="O76" s="14" t="n">
        <v>101</v>
      </c>
      <c r="P76" s="14" t="n">
        <v>112</v>
      </c>
      <c r="Q76" s="14" t="n">
        <v>124</v>
      </c>
      <c r="R76" s="14" t="n">
        <v>135</v>
      </c>
      <c r="S76" s="14" t="n">
        <v>146</v>
      </c>
      <c r="T76" s="14" t="n">
        <v>158</v>
      </c>
      <c r="U76" s="14" t="n">
        <v>169</v>
      </c>
      <c r="V76" s="14" t="n">
        <v>180</v>
      </c>
      <c r="W76" s="14" t="n">
        <v>191</v>
      </c>
      <c r="X76" s="14" t="n">
        <v>202</v>
      </c>
      <c r="Y76" s="14" t="n">
        <v>214</v>
      </c>
      <c r="Z76" s="14" t="n">
        <v>225</v>
      </c>
      <c r="AA76" s="14" t="n">
        <v>225</v>
      </c>
      <c r="AB76" s="14" t="n">
        <v>225</v>
      </c>
      <c r="AC76" s="14" t="n">
        <v>225</v>
      </c>
      <c r="AD76" s="14" t="n">
        <v>225</v>
      </c>
      <c r="AE76" s="14" t="n">
        <v>225</v>
      </c>
      <c r="AF76" s="14" t="n">
        <v>225</v>
      </c>
      <c r="AG76" s="14" t="n">
        <v>225</v>
      </c>
      <c r="AH76" s="14" t="n">
        <v>225</v>
      </c>
      <c r="AI76" s="14" t="n">
        <v>225</v>
      </c>
      <c r="AJ76" s="14" t="n">
        <v>225</v>
      </c>
      <c r="AK76" s="14" t="n">
        <v>225</v>
      </c>
      <c r="AL76" s="14" t="n">
        <v>225</v>
      </c>
      <c r="AM76" s="14" t="n">
        <v>225</v>
      </c>
      <c r="AN76" s="14" t="n">
        <v>225</v>
      </c>
      <c r="AO76" s="14" t="n">
        <v>225</v>
      </c>
      <c r="AP76" s="14" t="n">
        <v>225</v>
      </c>
      <c r="AQ76" s="14" t="n">
        <v>225</v>
      </c>
      <c r="AR76" s="14" t="n">
        <v>225</v>
      </c>
      <c r="AS76" s="14" t="n">
        <v>225</v>
      </c>
      <c r="AT76" s="14" t="n">
        <v>225</v>
      </c>
      <c r="AU76" s="14" t="n">
        <v>225</v>
      </c>
      <c r="AV76" s="14" t="n">
        <v>225</v>
      </c>
      <c r="AW76" s="14" t="n">
        <v>225</v>
      </c>
      <c r="AX76" s="14" t="n">
        <v>225</v>
      </c>
    </row>
    <row r="77">
      <c r="A77" s="8" t="inlineStr">
        <is>
          <t>Net labor arbitrage ($K)</t>
        </is>
      </c>
      <c r="C77" s="15">
        <f>SUM(C72:C75)-C76</f>
        <v/>
      </c>
      <c r="D77" s="15">
        <f>SUM(D72:D75)-D76</f>
        <v/>
      </c>
      <c r="E77" s="15">
        <f>SUM(E72:E75)-E76</f>
        <v/>
      </c>
      <c r="F77" s="15">
        <f>SUM(F72:F75)-F76</f>
        <v/>
      </c>
      <c r="G77" s="15">
        <f>SUM(G72:G75)-G76</f>
        <v/>
      </c>
      <c r="H77" s="15">
        <f>SUM(H72:H75)-H76</f>
        <v/>
      </c>
      <c r="I77" s="15">
        <f>SUM(I72:I75)-I76</f>
        <v/>
      </c>
      <c r="J77" s="15">
        <f>SUM(J72:J75)-J76</f>
        <v/>
      </c>
      <c r="K77" s="15">
        <f>SUM(K72:K75)-K76</f>
        <v/>
      </c>
      <c r="L77" s="15">
        <f>SUM(L72:L75)-L76</f>
        <v/>
      </c>
      <c r="M77" s="15">
        <f>SUM(M72:M75)-M76</f>
        <v/>
      </c>
      <c r="N77" s="15">
        <f>SUM(N72:N75)-N76</f>
        <v/>
      </c>
      <c r="O77" s="15">
        <f>SUM(O72:O75)-O76</f>
        <v/>
      </c>
      <c r="P77" s="15">
        <f>SUM(P72:P75)-P76</f>
        <v/>
      </c>
      <c r="Q77" s="15">
        <f>SUM(Q72:Q75)-Q76</f>
        <v/>
      </c>
      <c r="R77" s="15">
        <f>SUM(R72:R75)-R76</f>
        <v/>
      </c>
      <c r="S77" s="15">
        <f>SUM(S72:S75)-S76</f>
        <v/>
      </c>
      <c r="T77" s="15">
        <f>SUM(T72:T75)-T76</f>
        <v/>
      </c>
      <c r="U77" s="15">
        <f>SUM(U72:U75)-U76</f>
        <v/>
      </c>
      <c r="V77" s="15">
        <f>SUM(V72:V75)-V76</f>
        <v/>
      </c>
      <c r="W77" s="15">
        <f>SUM(W72:W75)-W76</f>
        <v/>
      </c>
      <c r="X77" s="15">
        <f>SUM(X72:X75)-X76</f>
        <v/>
      </c>
      <c r="Y77" s="15">
        <f>SUM(Y72:Y75)-Y76</f>
        <v/>
      </c>
      <c r="Z77" s="15">
        <f>SUM(Z72:Z75)-Z76</f>
        <v/>
      </c>
      <c r="AA77" s="15">
        <f>SUM(AA72:AA75)-AA76</f>
        <v/>
      </c>
      <c r="AB77" s="15">
        <f>SUM(AB72:AB75)-AB76</f>
        <v/>
      </c>
      <c r="AC77" s="15">
        <f>SUM(AC72:AC75)-AC76</f>
        <v/>
      </c>
      <c r="AD77" s="15">
        <f>SUM(AD72:AD75)-AD76</f>
        <v/>
      </c>
      <c r="AE77" s="15">
        <f>SUM(AE72:AE75)-AE76</f>
        <v/>
      </c>
      <c r="AF77" s="15">
        <f>SUM(AF72:AF75)-AF76</f>
        <v/>
      </c>
      <c r="AG77" s="15">
        <f>SUM(AG72:AG75)-AG76</f>
        <v/>
      </c>
      <c r="AH77" s="15">
        <f>SUM(AH72:AH75)-AH76</f>
        <v/>
      </c>
      <c r="AI77" s="15">
        <f>SUM(AI72:AI75)-AI76</f>
        <v/>
      </c>
      <c r="AJ77" s="15">
        <f>SUM(AJ72:AJ75)-AJ76</f>
        <v/>
      </c>
      <c r="AK77" s="15">
        <f>SUM(AK72:AK75)-AK76</f>
        <v/>
      </c>
      <c r="AL77" s="15">
        <f>SUM(AL72:AL75)-AL76</f>
        <v/>
      </c>
      <c r="AM77" s="15">
        <f>SUM(AM72:AM75)-AM76</f>
        <v/>
      </c>
      <c r="AN77" s="15">
        <f>SUM(AN72:AN75)-AN76</f>
        <v/>
      </c>
      <c r="AO77" s="15">
        <f>SUM(AO72:AO75)-AO76</f>
        <v/>
      </c>
      <c r="AP77" s="15">
        <f>SUM(AP72:AP75)-AP76</f>
        <v/>
      </c>
      <c r="AQ77" s="15">
        <f>SUM(AQ72:AQ75)-AQ76</f>
        <v/>
      </c>
      <c r="AR77" s="15">
        <f>SUM(AR72:AR75)-AR76</f>
        <v/>
      </c>
      <c r="AS77" s="15">
        <f>SUM(AS72:AS75)-AS76</f>
        <v/>
      </c>
      <c r="AT77" s="15">
        <f>SUM(AT72:AT75)-AT76</f>
        <v/>
      </c>
      <c r="AU77" s="15">
        <f>SUM(AU72:AU75)-AU76</f>
        <v/>
      </c>
      <c r="AV77" s="15">
        <f>SUM(AV72:AV75)-AV76</f>
        <v/>
      </c>
      <c r="AW77" s="15">
        <f>SUM(AW72:AW75)-AW76</f>
        <v/>
      </c>
      <c r="AX77" s="15">
        <f>SUM(AX72:AX75)-AX76</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4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6" customWidth="1" min="1" max="1"/>
    <col width="20"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10.5" customWidth="1" min="35" max="35"/>
    <col width="10.5" customWidth="1" min="36" max="36"/>
    <col width="10.5" customWidth="1" min="37" max="37"/>
    <col width="10.5" customWidth="1" min="38" max="38"/>
    <col width="10.5" customWidth="1" min="39" max="39"/>
    <col width="10.5" customWidth="1" min="40" max="40"/>
    <col width="10.5" customWidth="1" min="41" max="41"/>
    <col width="10.5" customWidth="1" min="42" max="42"/>
    <col width="10.5" customWidth="1" min="43" max="43"/>
    <col width="10.5" customWidth="1" min="44" max="44"/>
    <col width="10.5" customWidth="1" min="45" max="45"/>
    <col width="10.5" customWidth="1" min="46" max="46"/>
    <col width="10.5" customWidth="1" min="47" max="47"/>
    <col width="10.5" customWidth="1" min="48" max="48"/>
    <col width="10.5" customWidth="1" min="49" max="49"/>
    <col width="10.5" customWidth="1" min="50" max="50"/>
  </cols>
  <sheetData>
    <row r="1">
      <c r="A1" s="4">
        <f>CONCATENATE("ORG: ",Setup!$B$4)</f>
        <v/>
      </c>
    </row>
    <row r="2">
      <c r="A2" s="5" t="inlineStr">
        <is>
          <t>Enter BLUE cells only. GREEN = central fill. GREY = linked target (do not edit). See READ ME + Guiding Principles tabs.</t>
        </is>
      </c>
    </row>
    <row r="4">
      <c r="C4" s="8" t="n">
        <v>2026</v>
      </c>
      <c r="O4" s="8" t="n">
        <v>2027</v>
      </c>
      <c r="AA4" s="8" t="n">
        <v>2028</v>
      </c>
      <c r="AM4" s="8" t="n">
        <v>2029</v>
      </c>
    </row>
    <row r="5">
      <c r="A5" s="9" t="inlineStr">
        <is>
          <t>Metric</t>
        </is>
      </c>
      <c r="B5" s="9" t="inlineStr">
        <is>
          <t>Unit / who fills</t>
        </is>
      </c>
      <c r="C5" s="10" t="n">
        <v>46023</v>
      </c>
      <c r="D5" s="10" t="n">
        <v>46054</v>
      </c>
      <c r="E5" s="10" t="n">
        <v>46082</v>
      </c>
      <c r="F5" s="10" t="n">
        <v>46113</v>
      </c>
      <c r="G5" s="10" t="n">
        <v>46143</v>
      </c>
      <c r="H5" s="10" t="n">
        <v>46174</v>
      </c>
      <c r="I5" s="10" t="n">
        <v>46204</v>
      </c>
      <c r="J5" s="10" t="n">
        <v>46235</v>
      </c>
      <c r="K5" s="10" t="n">
        <v>46266</v>
      </c>
      <c r="L5" s="10" t="n">
        <v>46296</v>
      </c>
      <c r="M5" s="10" t="n">
        <v>46327</v>
      </c>
      <c r="N5" s="10" t="n">
        <v>46357</v>
      </c>
      <c r="O5" s="10" t="n">
        <v>46388</v>
      </c>
      <c r="P5" s="10" t="n">
        <v>46419</v>
      </c>
      <c r="Q5" s="10" t="n">
        <v>46447</v>
      </c>
      <c r="R5" s="10" t="n">
        <v>46478</v>
      </c>
      <c r="S5" s="10" t="n">
        <v>46508</v>
      </c>
      <c r="T5" s="10" t="n">
        <v>46539</v>
      </c>
      <c r="U5" s="10" t="n">
        <v>46569</v>
      </c>
      <c r="V5" s="10" t="n">
        <v>46600</v>
      </c>
      <c r="W5" s="10" t="n">
        <v>46631</v>
      </c>
      <c r="X5" s="10" t="n">
        <v>46661</v>
      </c>
      <c r="Y5" s="10" t="n">
        <v>46692</v>
      </c>
      <c r="Z5" s="10" t="n">
        <v>46722</v>
      </c>
      <c r="AA5" s="10" t="n">
        <v>46753</v>
      </c>
      <c r="AB5" s="10" t="n">
        <v>46784</v>
      </c>
      <c r="AC5" s="10" t="n">
        <v>46813</v>
      </c>
      <c r="AD5" s="10" t="n">
        <v>46844</v>
      </c>
      <c r="AE5" s="10" t="n">
        <v>46874</v>
      </c>
      <c r="AF5" s="10" t="n">
        <v>46905</v>
      </c>
      <c r="AG5" s="10" t="n">
        <v>46935</v>
      </c>
      <c r="AH5" s="10" t="n">
        <v>46966</v>
      </c>
      <c r="AI5" s="10" t="n">
        <v>46997</v>
      </c>
      <c r="AJ5" s="10" t="n">
        <v>47027</v>
      </c>
      <c r="AK5" s="10" t="n">
        <v>47058</v>
      </c>
      <c r="AL5" s="10" t="n">
        <v>47088</v>
      </c>
      <c r="AM5" s="10" t="n">
        <v>47119</v>
      </c>
      <c r="AN5" s="10" t="n">
        <v>47150</v>
      </c>
      <c r="AO5" s="10" t="n">
        <v>47178</v>
      </c>
      <c r="AP5" s="10" t="n">
        <v>47209</v>
      </c>
      <c r="AQ5" s="10" t="n">
        <v>47239</v>
      </c>
      <c r="AR5" s="10" t="n">
        <v>47270</v>
      </c>
      <c r="AS5" s="10" t="n">
        <v>47300</v>
      </c>
      <c r="AT5" s="10" t="n">
        <v>47331</v>
      </c>
      <c r="AU5" s="10" t="n">
        <v>47362</v>
      </c>
      <c r="AV5" s="10" t="n">
        <v>47392</v>
      </c>
      <c r="AW5" s="10" t="n">
        <v>47423</v>
      </c>
      <c r="AX5" s="10" t="n">
        <v>47453</v>
      </c>
    </row>
    <row r="6">
      <c r="A6" s="11" t="inlineStr">
        <is>
          <t>A.  INDIA HIRING</t>
        </is>
      </c>
      <c r="B6" s="16" t="inlineStr"/>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row>
    <row r="7">
      <c r="A7" t="inlineStr">
        <is>
          <t>India hires — Target</t>
        </is>
      </c>
      <c r="B7" s="5" t="inlineStr">
        <is>
          <t>heads · linked</t>
        </is>
      </c>
      <c r="C7" s="17">
        <f>Targets!C8</f>
        <v/>
      </c>
      <c r="D7" s="17">
        <f>Targets!D8</f>
        <v/>
      </c>
      <c r="E7" s="17">
        <f>Targets!E8</f>
        <v/>
      </c>
      <c r="F7" s="17">
        <f>Targets!F8</f>
        <v/>
      </c>
      <c r="G7" s="17">
        <f>Targets!G8</f>
        <v/>
      </c>
      <c r="H7" s="17">
        <f>Targets!H8</f>
        <v/>
      </c>
      <c r="I7" s="17">
        <f>Targets!I8</f>
        <v/>
      </c>
      <c r="J7" s="17">
        <f>Targets!J8</f>
        <v/>
      </c>
      <c r="K7" s="17">
        <f>Targets!K8</f>
        <v/>
      </c>
      <c r="L7" s="17">
        <f>Targets!L8</f>
        <v/>
      </c>
      <c r="M7" s="17">
        <f>Targets!M8</f>
        <v/>
      </c>
      <c r="N7" s="17">
        <f>Targets!N8</f>
        <v/>
      </c>
      <c r="O7" s="17">
        <f>Targets!O8</f>
        <v/>
      </c>
      <c r="P7" s="17">
        <f>Targets!P8</f>
        <v/>
      </c>
      <c r="Q7" s="17">
        <f>Targets!Q8</f>
        <v/>
      </c>
      <c r="R7" s="17">
        <f>Targets!R8</f>
        <v/>
      </c>
      <c r="S7" s="17">
        <f>Targets!S8</f>
        <v/>
      </c>
      <c r="T7" s="17">
        <f>Targets!T8</f>
        <v/>
      </c>
      <c r="U7" s="17">
        <f>Targets!U8</f>
        <v/>
      </c>
      <c r="V7" s="17">
        <f>Targets!V8</f>
        <v/>
      </c>
      <c r="W7" s="17">
        <f>Targets!W8</f>
        <v/>
      </c>
      <c r="X7" s="17">
        <f>Targets!X8</f>
        <v/>
      </c>
      <c r="Y7" s="17">
        <f>Targets!Y8</f>
        <v/>
      </c>
      <c r="Z7" s="17">
        <f>Targets!Z8</f>
        <v/>
      </c>
      <c r="AA7" s="17">
        <f>Targets!AA8</f>
        <v/>
      </c>
      <c r="AB7" s="17">
        <f>Targets!AB8</f>
        <v/>
      </c>
      <c r="AC7" s="17">
        <f>Targets!AC8</f>
        <v/>
      </c>
      <c r="AD7" s="17">
        <f>Targets!AD8</f>
        <v/>
      </c>
      <c r="AE7" s="17">
        <f>Targets!AE8</f>
        <v/>
      </c>
      <c r="AF7" s="17">
        <f>Targets!AF8</f>
        <v/>
      </c>
      <c r="AG7" s="17">
        <f>Targets!AG8</f>
        <v/>
      </c>
      <c r="AH7" s="17">
        <f>Targets!AH8</f>
        <v/>
      </c>
      <c r="AI7" s="17">
        <f>Targets!AI8</f>
        <v/>
      </c>
      <c r="AJ7" s="17">
        <f>Targets!AJ8</f>
        <v/>
      </c>
      <c r="AK7" s="17">
        <f>Targets!AK8</f>
        <v/>
      </c>
      <c r="AL7" s="17">
        <f>Targets!AL8</f>
        <v/>
      </c>
      <c r="AM7" s="17">
        <f>Targets!AM8</f>
        <v/>
      </c>
      <c r="AN7" s="17">
        <f>Targets!AN8</f>
        <v/>
      </c>
      <c r="AO7" s="17">
        <f>Targets!AO8</f>
        <v/>
      </c>
      <c r="AP7" s="17">
        <f>Targets!AP8</f>
        <v/>
      </c>
      <c r="AQ7" s="17">
        <f>Targets!AQ8</f>
        <v/>
      </c>
      <c r="AR7" s="17">
        <f>Targets!AR8</f>
        <v/>
      </c>
      <c r="AS7" s="17">
        <f>Targets!AS8</f>
        <v/>
      </c>
      <c r="AT7" s="17">
        <f>Targets!AT8</f>
        <v/>
      </c>
      <c r="AU7" s="17">
        <f>Targets!AU8</f>
        <v/>
      </c>
      <c r="AV7" s="17">
        <f>Targets!AV8</f>
        <v/>
      </c>
      <c r="AW7" s="17">
        <f>Targets!AW8</f>
        <v/>
      </c>
      <c r="AX7" s="17">
        <f>Targets!AX8</f>
        <v/>
      </c>
    </row>
    <row r="8">
      <c r="A8" t="inlineStr">
        <is>
          <t>India hires — Actual</t>
        </is>
      </c>
      <c r="B8" s="5" t="inlineStr">
        <is>
          <t>heads · central (PlanIt)</t>
        </is>
      </c>
      <c r="C8" s="18" t="n">
        <v>5</v>
      </c>
      <c r="D8" s="18" t="n">
        <v>6</v>
      </c>
      <c r="E8" s="18" t="n">
        <v>6</v>
      </c>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row>
    <row r="9">
      <c r="A9" t="inlineStr">
        <is>
          <t>Cumulative hires — Target</t>
        </is>
      </c>
      <c r="B9" s="5" t="inlineStr">
        <is>
          <t>heads · auto</t>
        </is>
      </c>
      <c r="C9" s="19">
        <f>SUM($C7:C7)</f>
        <v/>
      </c>
      <c r="D9" s="19">
        <f>SUM($C7:D7)</f>
        <v/>
      </c>
      <c r="E9" s="19">
        <f>SUM($C7:E7)</f>
        <v/>
      </c>
      <c r="F9" s="19">
        <f>SUM($C7:F7)</f>
        <v/>
      </c>
      <c r="G9" s="19">
        <f>SUM($C7:G7)</f>
        <v/>
      </c>
      <c r="H9" s="19">
        <f>SUM($C7:H7)</f>
        <v/>
      </c>
      <c r="I9" s="19">
        <f>SUM($C7:I7)</f>
        <v/>
      </c>
      <c r="J9" s="19">
        <f>SUM($C7:J7)</f>
        <v/>
      </c>
      <c r="K9" s="19">
        <f>SUM($C7:K7)</f>
        <v/>
      </c>
      <c r="L9" s="19">
        <f>SUM($C7:L7)</f>
        <v/>
      </c>
      <c r="M9" s="19">
        <f>SUM($C7:M7)</f>
        <v/>
      </c>
      <c r="N9" s="19">
        <f>SUM($C7:N7)</f>
        <v/>
      </c>
      <c r="O9" s="19">
        <f>SUM($C7:O7)</f>
        <v/>
      </c>
      <c r="P9" s="19">
        <f>SUM($C7:P7)</f>
        <v/>
      </c>
      <c r="Q9" s="19">
        <f>SUM($C7:Q7)</f>
        <v/>
      </c>
      <c r="R9" s="19">
        <f>SUM($C7:R7)</f>
        <v/>
      </c>
      <c r="S9" s="19">
        <f>SUM($C7:S7)</f>
        <v/>
      </c>
      <c r="T9" s="19">
        <f>SUM($C7:T7)</f>
        <v/>
      </c>
      <c r="U9" s="19">
        <f>SUM($C7:U7)</f>
        <v/>
      </c>
      <c r="V9" s="19">
        <f>SUM($C7:V7)</f>
        <v/>
      </c>
      <c r="W9" s="19">
        <f>SUM($C7:W7)</f>
        <v/>
      </c>
      <c r="X9" s="19">
        <f>SUM($C7:X7)</f>
        <v/>
      </c>
      <c r="Y9" s="19">
        <f>SUM($C7:Y7)</f>
        <v/>
      </c>
      <c r="Z9" s="19">
        <f>SUM($C7:Z7)</f>
        <v/>
      </c>
      <c r="AA9" s="19">
        <f>SUM($C7:AA7)</f>
        <v/>
      </c>
      <c r="AB9" s="19">
        <f>SUM($C7:AB7)</f>
        <v/>
      </c>
      <c r="AC9" s="19">
        <f>SUM($C7:AC7)</f>
        <v/>
      </c>
      <c r="AD9" s="19">
        <f>SUM($C7:AD7)</f>
        <v/>
      </c>
      <c r="AE9" s="19">
        <f>SUM($C7:AE7)</f>
        <v/>
      </c>
      <c r="AF9" s="19">
        <f>SUM($C7:AF7)</f>
        <v/>
      </c>
      <c r="AG9" s="19">
        <f>SUM($C7:AG7)</f>
        <v/>
      </c>
      <c r="AH9" s="19">
        <f>SUM($C7:AH7)</f>
        <v/>
      </c>
      <c r="AI9" s="19">
        <f>SUM($C7:AI7)</f>
        <v/>
      </c>
      <c r="AJ9" s="19">
        <f>SUM($C7:AJ7)</f>
        <v/>
      </c>
      <c r="AK9" s="19">
        <f>SUM($C7:AK7)</f>
        <v/>
      </c>
      <c r="AL9" s="19">
        <f>SUM($C7:AL7)</f>
        <v/>
      </c>
      <c r="AM9" s="19">
        <f>SUM($C7:AM7)</f>
        <v/>
      </c>
      <c r="AN9" s="19">
        <f>SUM($C7:AN7)</f>
        <v/>
      </c>
      <c r="AO9" s="19">
        <f>SUM($C7:AO7)</f>
        <v/>
      </c>
      <c r="AP9" s="19">
        <f>SUM($C7:AP7)</f>
        <v/>
      </c>
      <c r="AQ9" s="19">
        <f>SUM($C7:AQ7)</f>
        <v/>
      </c>
      <c r="AR9" s="19">
        <f>SUM($C7:AR7)</f>
        <v/>
      </c>
      <c r="AS9" s="19">
        <f>SUM($C7:AS7)</f>
        <v/>
      </c>
      <c r="AT9" s="19">
        <f>SUM($C7:AT7)</f>
        <v/>
      </c>
      <c r="AU9" s="19">
        <f>SUM($C7:AU7)</f>
        <v/>
      </c>
      <c r="AV9" s="19">
        <f>SUM($C7:AV7)</f>
        <v/>
      </c>
      <c r="AW9" s="19">
        <f>SUM($C7:AW7)</f>
        <v/>
      </c>
      <c r="AX9" s="19">
        <f>SUM($C7:AX7)</f>
        <v/>
      </c>
    </row>
    <row r="10">
      <c r="A10" t="inlineStr">
        <is>
          <t>Cumulative hires — Actual</t>
        </is>
      </c>
      <c r="B10" s="5" t="inlineStr">
        <is>
          <t>heads · auto</t>
        </is>
      </c>
      <c r="C10" s="19">
        <f>SUM($C8:C8)</f>
        <v/>
      </c>
      <c r="D10" s="19">
        <f>SUM($C8:D8)</f>
        <v/>
      </c>
      <c r="E10" s="19">
        <f>SUM($C8:E8)</f>
        <v/>
      </c>
      <c r="F10" s="19">
        <f>SUM($C8:F8)</f>
        <v/>
      </c>
      <c r="G10" s="19">
        <f>SUM($C8:G8)</f>
        <v/>
      </c>
      <c r="H10" s="19">
        <f>SUM($C8:H8)</f>
        <v/>
      </c>
      <c r="I10" s="19">
        <f>SUM($C8:I8)</f>
        <v/>
      </c>
      <c r="J10" s="19">
        <f>SUM($C8:J8)</f>
        <v/>
      </c>
      <c r="K10" s="19">
        <f>SUM($C8:K8)</f>
        <v/>
      </c>
      <c r="L10" s="19">
        <f>SUM($C8:L8)</f>
        <v/>
      </c>
      <c r="M10" s="19">
        <f>SUM($C8:M8)</f>
        <v/>
      </c>
      <c r="N10" s="19">
        <f>SUM($C8:N8)</f>
        <v/>
      </c>
      <c r="O10" s="19">
        <f>SUM($C8:O8)</f>
        <v/>
      </c>
      <c r="P10" s="19">
        <f>SUM($C8:P8)</f>
        <v/>
      </c>
      <c r="Q10" s="19">
        <f>SUM($C8:Q8)</f>
        <v/>
      </c>
      <c r="R10" s="19">
        <f>SUM($C8:R8)</f>
        <v/>
      </c>
      <c r="S10" s="19">
        <f>SUM($C8:S8)</f>
        <v/>
      </c>
      <c r="T10" s="19">
        <f>SUM($C8:T8)</f>
        <v/>
      </c>
      <c r="U10" s="19">
        <f>SUM($C8:U8)</f>
        <v/>
      </c>
      <c r="V10" s="19">
        <f>SUM($C8:V8)</f>
        <v/>
      </c>
      <c r="W10" s="19">
        <f>SUM($C8:W8)</f>
        <v/>
      </c>
      <c r="X10" s="19">
        <f>SUM($C8:X8)</f>
        <v/>
      </c>
      <c r="Y10" s="19">
        <f>SUM($C8:Y8)</f>
        <v/>
      </c>
      <c r="Z10" s="19">
        <f>SUM($C8:Z8)</f>
        <v/>
      </c>
      <c r="AA10" s="19">
        <f>SUM($C8:AA8)</f>
        <v/>
      </c>
      <c r="AB10" s="19">
        <f>SUM($C8:AB8)</f>
        <v/>
      </c>
      <c r="AC10" s="19">
        <f>SUM($C8:AC8)</f>
        <v/>
      </c>
      <c r="AD10" s="19">
        <f>SUM($C8:AD8)</f>
        <v/>
      </c>
      <c r="AE10" s="19">
        <f>SUM($C8:AE8)</f>
        <v/>
      </c>
      <c r="AF10" s="19">
        <f>SUM($C8:AF8)</f>
        <v/>
      </c>
      <c r="AG10" s="19">
        <f>SUM($C8:AG8)</f>
        <v/>
      </c>
      <c r="AH10" s="19">
        <f>SUM($C8:AH8)</f>
        <v/>
      </c>
      <c r="AI10" s="19">
        <f>SUM($C8:AI8)</f>
        <v/>
      </c>
      <c r="AJ10" s="19">
        <f>SUM($C8:AJ8)</f>
        <v/>
      </c>
      <c r="AK10" s="19">
        <f>SUM($C8:AK8)</f>
        <v/>
      </c>
      <c r="AL10" s="19">
        <f>SUM($C8:AL8)</f>
        <v/>
      </c>
      <c r="AM10" s="19">
        <f>SUM($C8:AM8)</f>
        <v/>
      </c>
      <c r="AN10" s="19">
        <f>SUM($C8:AN8)</f>
        <v/>
      </c>
      <c r="AO10" s="19">
        <f>SUM($C8:AO8)</f>
        <v/>
      </c>
      <c r="AP10" s="19">
        <f>SUM($C8:AP8)</f>
        <v/>
      </c>
      <c r="AQ10" s="19">
        <f>SUM($C8:AQ8)</f>
        <v/>
      </c>
      <c r="AR10" s="19">
        <f>SUM($C8:AR8)</f>
        <v/>
      </c>
      <c r="AS10" s="19">
        <f>SUM($C8:AS8)</f>
        <v/>
      </c>
      <c r="AT10" s="19">
        <f>SUM($C8:AT8)</f>
        <v/>
      </c>
      <c r="AU10" s="19">
        <f>SUM($C8:AU8)</f>
        <v/>
      </c>
      <c r="AV10" s="19">
        <f>SUM($C8:AV8)</f>
        <v/>
      </c>
      <c r="AW10" s="19">
        <f>SUM($C8:AW8)</f>
        <v/>
      </c>
      <c r="AX10" s="19">
        <f>SUM($C8:AX8)</f>
        <v/>
      </c>
    </row>
    <row r="11">
      <c r="A11" t="inlineStr">
        <is>
          <t>Hires variance (Actual − Target), cumulative</t>
        </is>
      </c>
      <c r="B11" s="5" t="inlineStr">
        <is>
          <t>heads · auto</t>
        </is>
      </c>
      <c r="C11" s="19">
        <f>C10-C9</f>
        <v/>
      </c>
      <c r="D11" s="19">
        <f>D10-D9</f>
        <v/>
      </c>
      <c r="E11" s="19">
        <f>E10-E9</f>
        <v/>
      </c>
      <c r="F11" s="19">
        <f>F10-F9</f>
        <v/>
      </c>
      <c r="G11" s="19">
        <f>G10-G9</f>
        <v/>
      </c>
      <c r="H11" s="19">
        <f>H10-H9</f>
        <v/>
      </c>
      <c r="I11" s="19">
        <f>I10-I9</f>
        <v/>
      </c>
      <c r="J11" s="19">
        <f>J10-J9</f>
        <v/>
      </c>
      <c r="K11" s="19">
        <f>K10-K9</f>
        <v/>
      </c>
      <c r="L11" s="19">
        <f>L10-L9</f>
        <v/>
      </c>
      <c r="M11" s="19">
        <f>M10-M9</f>
        <v/>
      </c>
      <c r="N11" s="19">
        <f>N10-N9</f>
        <v/>
      </c>
      <c r="O11" s="19">
        <f>O10-O9</f>
        <v/>
      </c>
      <c r="P11" s="19">
        <f>P10-P9</f>
        <v/>
      </c>
      <c r="Q11" s="19">
        <f>Q10-Q9</f>
        <v/>
      </c>
      <c r="R11" s="19">
        <f>R10-R9</f>
        <v/>
      </c>
      <c r="S11" s="19">
        <f>S10-S9</f>
        <v/>
      </c>
      <c r="T11" s="19">
        <f>T10-T9</f>
        <v/>
      </c>
      <c r="U11" s="19">
        <f>U10-U9</f>
        <v/>
      </c>
      <c r="V11" s="19">
        <f>V10-V9</f>
        <v/>
      </c>
      <c r="W11" s="19">
        <f>W10-W9</f>
        <v/>
      </c>
      <c r="X11" s="19">
        <f>X10-X9</f>
        <v/>
      </c>
      <c r="Y11" s="19">
        <f>Y10-Y9</f>
        <v/>
      </c>
      <c r="Z11" s="19">
        <f>Z10-Z9</f>
        <v/>
      </c>
      <c r="AA11" s="19">
        <f>AA10-AA9</f>
        <v/>
      </c>
      <c r="AB11" s="19">
        <f>AB10-AB9</f>
        <v/>
      </c>
      <c r="AC11" s="19">
        <f>AC10-AC9</f>
        <v/>
      </c>
      <c r="AD11" s="19">
        <f>AD10-AD9</f>
        <v/>
      </c>
      <c r="AE11" s="19">
        <f>AE10-AE9</f>
        <v/>
      </c>
      <c r="AF11" s="19">
        <f>AF10-AF9</f>
        <v/>
      </c>
      <c r="AG11" s="19">
        <f>AG10-AG9</f>
        <v/>
      </c>
      <c r="AH11" s="19">
        <f>AH10-AH9</f>
        <v/>
      </c>
      <c r="AI11" s="19">
        <f>AI10-AI9</f>
        <v/>
      </c>
      <c r="AJ11" s="19">
        <f>AJ10-AJ9</f>
        <v/>
      </c>
      <c r="AK11" s="19">
        <f>AK10-AK9</f>
        <v/>
      </c>
      <c r="AL11" s="19">
        <f>AL10-AL9</f>
        <v/>
      </c>
      <c r="AM11" s="19">
        <f>AM10-AM9</f>
        <v/>
      </c>
      <c r="AN11" s="19">
        <f>AN10-AN9</f>
        <v/>
      </c>
      <c r="AO11" s="19">
        <f>AO10-AO9</f>
        <v/>
      </c>
      <c r="AP11" s="19">
        <f>AP10-AP9</f>
        <v/>
      </c>
      <c r="AQ11" s="19">
        <f>AQ10-AQ9</f>
        <v/>
      </c>
      <c r="AR11" s="19">
        <f>AR10-AR9</f>
        <v/>
      </c>
      <c r="AS11" s="19">
        <f>AS10-AS9</f>
        <v/>
      </c>
      <c r="AT11" s="19">
        <f>AT10-AT9</f>
        <v/>
      </c>
      <c r="AU11" s="19">
        <f>AU10-AU9</f>
        <v/>
      </c>
      <c r="AV11" s="19">
        <f>AV10-AV9</f>
        <v/>
      </c>
      <c r="AW11" s="19">
        <f>AW10-AW9</f>
        <v/>
      </c>
      <c r="AX11" s="19">
        <f>AX10-AX9</f>
        <v/>
      </c>
    </row>
    <row r="12">
      <c r="A12" t="inlineStr">
        <is>
          <t>Avg India loaded comp — Plan</t>
        </is>
      </c>
      <c r="B12" s="5" t="inlineStr">
        <is>
          <t>$K/yr · central (PlanIt)</t>
        </is>
      </c>
      <c r="C12" s="20" t="n">
        <v>45</v>
      </c>
      <c r="D12" s="20" t="n">
        <v>45</v>
      </c>
      <c r="E12" s="20" t="n">
        <v>45</v>
      </c>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20" t="n"/>
      <c r="AD12" s="20" t="n"/>
      <c r="AE12" s="20" t="n"/>
      <c r="AF12" s="20" t="n"/>
      <c r="AG12" s="20" t="n"/>
      <c r="AH12" s="20" t="n"/>
      <c r="AI12" s="20" t="n"/>
      <c r="AJ12" s="20" t="n"/>
      <c r="AK12" s="20" t="n"/>
      <c r="AL12" s="20" t="n"/>
      <c r="AM12" s="20" t="n"/>
      <c r="AN12" s="20" t="n"/>
      <c r="AO12" s="20" t="n"/>
      <c r="AP12" s="20" t="n"/>
      <c r="AQ12" s="20" t="n"/>
      <c r="AR12" s="20" t="n"/>
      <c r="AS12" s="20" t="n"/>
      <c r="AT12" s="20" t="n"/>
      <c r="AU12" s="20" t="n"/>
      <c r="AV12" s="20" t="n"/>
      <c r="AW12" s="20" t="n"/>
      <c r="AX12" s="20" t="n"/>
    </row>
    <row r="13">
      <c r="A13" t="inlineStr">
        <is>
          <t>Avg India loaded comp — Actual</t>
        </is>
      </c>
      <c r="B13" s="5" t="inlineStr">
        <is>
          <t>$K/yr · central (PlanIt)</t>
        </is>
      </c>
      <c r="C13" s="20" t="n">
        <v>44</v>
      </c>
      <c r="D13" s="20" t="n">
        <v>46</v>
      </c>
      <c r="E13" s="20" t="n">
        <v>47</v>
      </c>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c r="AA13" s="20" t="n"/>
      <c r="AB13" s="20" t="n"/>
      <c r="AC13" s="20" t="n"/>
      <c r="AD13" s="20" t="n"/>
      <c r="AE13" s="20" t="n"/>
      <c r="AF13" s="20" t="n"/>
      <c r="AG13" s="20" t="n"/>
      <c r="AH13" s="20" t="n"/>
      <c r="AI13" s="20" t="n"/>
      <c r="AJ13" s="20" t="n"/>
      <c r="AK13" s="20" t="n"/>
      <c r="AL13" s="20" t="n"/>
      <c r="AM13" s="20" t="n"/>
      <c r="AN13" s="20" t="n"/>
      <c r="AO13" s="20" t="n"/>
      <c r="AP13" s="20" t="n"/>
      <c r="AQ13" s="20" t="n"/>
      <c r="AR13" s="20" t="n"/>
      <c r="AS13" s="20" t="n"/>
      <c r="AT13" s="20" t="n"/>
      <c r="AU13" s="20" t="n"/>
      <c r="AV13" s="20" t="n"/>
      <c r="AW13" s="20" t="n"/>
      <c r="AX13" s="20" t="n"/>
    </row>
    <row r="14">
      <c r="A14" t="inlineStr">
        <is>
          <t>India attrition in month</t>
        </is>
      </c>
      <c r="B14" s="5" t="inlineStr">
        <is>
          <t>heads · central (HR)</t>
        </is>
      </c>
      <c r="C14" s="18" t="n">
        <v>0</v>
      </c>
      <c r="D14" s="18" t="n">
        <v>0</v>
      </c>
      <c r="E14" s="18" t="n">
        <v>1</v>
      </c>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c r="AA14" s="18" t="n"/>
      <c r="AB14" s="18" t="n"/>
      <c r="AC14" s="18" t="n"/>
      <c r="AD14" s="18" t="n"/>
      <c r="AE14" s="18" t="n"/>
      <c r="AF14" s="18" t="n"/>
      <c r="AG14" s="18" t="n"/>
      <c r="AH14" s="18" t="n"/>
      <c r="AI14" s="18" t="n"/>
      <c r="AJ14" s="18" t="n"/>
      <c r="AK14" s="18" t="n"/>
      <c r="AL14" s="18" t="n"/>
      <c r="AM14" s="18" t="n"/>
      <c r="AN14" s="18" t="n"/>
      <c r="AO14" s="18" t="n"/>
      <c r="AP14" s="18" t="n"/>
      <c r="AQ14" s="18" t="n"/>
      <c r="AR14" s="18" t="n"/>
      <c r="AS14" s="18" t="n"/>
      <c r="AT14" s="18" t="n"/>
      <c r="AU14" s="18" t="n"/>
      <c r="AV14" s="18" t="n"/>
      <c r="AW14" s="18" t="n"/>
      <c r="AX14" s="18" t="n"/>
    </row>
    <row r="15">
      <c r="A15" t="inlineStr">
        <is>
          <t>% of India hires fully productive</t>
        </is>
      </c>
      <c r="B15" s="5" t="inlineStr">
        <is>
          <t>% · org input</t>
        </is>
      </c>
      <c r="C15" s="21" t="n">
        <v>0</v>
      </c>
      <c r="D15" s="21" t="n">
        <v>0.2</v>
      </c>
      <c r="E15" s="21" t="n">
        <v>0.4</v>
      </c>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c r="AA15" s="21" t="n"/>
      <c r="AB15" s="21" t="n"/>
      <c r="AC15" s="21" t="n"/>
      <c r="AD15" s="21" t="n"/>
      <c r="AE15" s="21" t="n"/>
      <c r="AF15" s="21" t="n"/>
      <c r="AG15" s="21" t="n"/>
      <c r="AH15" s="21" t="n"/>
      <c r="AI15" s="21" t="n"/>
      <c r="AJ15" s="21" t="n"/>
      <c r="AK15" s="21" t="n"/>
      <c r="AL15" s="21" t="n"/>
      <c r="AM15" s="21" t="n"/>
      <c r="AN15" s="21" t="n"/>
      <c r="AO15" s="21" t="n"/>
      <c r="AP15" s="21" t="n"/>
      <c r="AQ15" s="21" t="n"/>
      <c r="AR15" s="21" t="n"/>
      <c r="AS15" s="21" t="n"/>
      <c r="AT15" s="21" t="n"/>
      <c r="AU15" s="21" t="n"/>
      <c r="AV15" s="21" t="n"/>
      <c r="AW15" s="21" t="n"/>
      <c r="AX15" s="21" t="n"/>
    </row>
    <row r="16">
      <c r="A16" s="11" t="inlineStr">
        <is>
          <t>B.  GROSS REDUCTIONS REALIZED IN PERIOD</t>
        </is>
      </c>
      <c r="B16" s="16" t="inlineStr"/>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row>
    <row r="17">
      <c r="A17" t="inlineStr">
        <is>
          <t>Professional services — Target</t>
        </is>
      </c>
      <c r="B17" s="5" t="inlineStr">
        <is>
          <t>$K · linked</t>
        </is>
      </c>
      <c r="C17" s="22">
        <f>Targets!C9</f>
        <v/>
      </c>
      <c r="D17" s="22">
        <f>Targets!D9</f>
        <v/>
      </c>
      <c r="E17" s="22">
        <f>Targets!E9</f>
        <v/>
      </c>
      <c r="F17" s="22">
        <f>Targets!F9</f>
        <v/>
      </c>
      <c r="G17" s="22">
        <f>Targets!G9</f>
        <v/>
      </c>
      <c r="H17" s="22">
        <f>Targets!H9</f>
        <v/>
      </c>
      <c r="I17" s="22">
        <f>Targets!I9</f>
        <v/>
      </c>
      <c r="J17" s="22">
        <f>Targets!J9</f>
        <v/>
      </c>
      <c r="K17" s="22">
        <f>Targets!K9</f>
        <v/>
      </c>
      <c r="L17" s="22">
        <f>Targets!L9</f>
        <v/>
      </c>
      <c r="M17" s="22">
        <f>Targets!M9</f>
        <v/>
      </c>
      <c r="N17" s="22">
        <f>Targets!N9</f>
        <v/>
      </c>
      <c r="O17" s="22">
        <f>Targets!O9</f>
        <v/>
      </c>
      <c r="P17" s="22">
        <f>Targets!P9</f>
        <v/>
      </c>
      <c r="Q17" s="22">
        <f>Targets!Q9</f>
        <v/>
      </c>
      <c r="R17" s="22">
        <f>Targets!R9</f>
        <v/>
      </c>
      <c r="S17" s="22">
        <f>Targets!S9</f>
        <v/>
      </c>
      <c r="T17" s="22">
        <f>Targets!T9</f>
        <v/>
      </c>
      <c r="U17" s="22">
        <f>Targets!U9</f>
        <v/>
      </c>
      <c r="V17" s="22">
        <f>Targets!V9</f>
        <v/>
      </c>
      <c r="W17" s="22">
        <f>Targets!W9</f>
        <v/>
      </c>
      <c r="X17" s="22">
        <f>Targets!X9</f>
        <v/>
      </c>
      <c r="Y17" s="22">
        <f>Targets!Y9</f>
        <v/>
      </c>
      <c r="Z17" s="22">
        <f>Targets!Z9</f>
        <v/>
      </c>
      <c r="AA17" s="22">
        <f>Targets!AA9</f>
        <v/>
      </c>
      <c r="AB17" s="22">
        <f>Targets!AB9</f>
        <v/>
      </c>
      <c r="AC17" s="22">
        <f>Targets!AC9</f>
        <v/>
      </c>
      <c r="AD17" s="22">
        <f>Targets!AD9</f>
        <v/>
      </c>
      <c r="AE17" s="22">
        <f>Targets!AE9</f>
        <v/>
      </c>
      <c r="AF17" s="22">
        <f>Targets!AF9</f>
        <v/>
      </c>
      <c r="AG17" s="22">
        <f>Targets!AG9</f>
        <v/>
      </c>
      <c r="AH17" s="22">
        <f>Targets!AH9</f>
        <v/>
      </c>
      <c r="AI17" s="22">
        <f>Targets!AI9</f>
        <v/>
      </c>
      <c r="AJ17" s="22">
        <f>Targets!AJ9</f>
        <v/>
      </c>
      <c r="AK17" s="22">
        <f>Targets!AK9</f>
        <v/>
      </c>
      <c r="AL17" s="22">
        <f>Targets!AL9</f>
        <v/>
      </c>
      <c r="AM17" s="22">
        <f>Targets!AM9</f>
        <v/>
      </c>
      <c r="AN17" s="22">
        <f>Targets!AN9</f>
        <v/>
      </c>
      <c r="AO17" s="22">
        <f>Targets!AO9</f>
        <v/>
      </c>
      <c r="AP17" s="22">
        <f>Targets!AP9</f>
        <v/>
      </c>
      <c r="AQ17" s="22">
        <f>Targets!AQ9</f>
        <v/>
      </c>
      <c r="AR17" s="22">
        <f>Targets!AR9</f>
        <v/>
      </c>
      <c r="AS17" s="22">
        <f>Targets!AS9</f>
        <v/>
      </c>
      <c r="AT17" s="22">
        <f>Targets!AT9</f>
        <v/>
      </c>
      <c r="AU17" s="22">
        <f>Targets!AU9</f>
        <v/>
      </c>
      <c r="AV17" s="22">
        <f>Targets!AV9</f>
        <v/>
      </c>
      <c r="AW17" s="22">
        <f>Targets!AW9</f>
        <v/>
      </c>
      <c r="AX17" s="22">
        <f>Targets!AX9</f>
        <v/>
      </c>
    </row>
    <row r="18">
      <c r="A18" t="inlineStr">
        <is>
          <t>Professional services — Actual</t>
        </is>
      </c>
      <c r="B18" s="5" t="inlineStr">
        <is>
          <t>$K · org input</t>
        </is>
      </c>
      <c r="C18" s="23" t="n">
        <v>0</v>
      </c>
      <c r="D18" s="23" t="n">
        <v>20</v>
      </c>
      <c r="E18" s="23" t="n">
        <v>45</v>
      </c>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row>
    <row r="19">
      <c r="A19" t="inlineStr">
        <is>
          <t>Offshore contractors — Target</t>
        </is>
      </c>
      <c r="B19" s="5" t="inlineStr">
        <is>
          <t>$K · linked</t>
        </is>
      </c>
      <c r="C19" s="22">
        <f>Targets!C10</f>
        <v/>
      </c>
      <c r="D19" s="22">
        <f>Targets!D10</f>
        <v/>
      </c>
      <c r="E19" s="22">
        <f>Targets!E10</f>
        <v/>
      </c>
      <c r="F19" s="22">
        <f>Targets!F10</f>
        <v/>
      </c>
      <c r="G19" s="22">
        <f>Targets!G10</f>
        <v/>
      </c>
      <c r="H19" s="22">
        <f>Targets!H10</f>
        <v/>
      </c>
      <c r="I19" s="22">
        <f>Targets!I10</f>
        <v/>
      </c>
      <c r="J19" s="22">
        <f>Targets!J10</f>
        <v/>
      </c>
      <c r="K19" s="22">
        <f>Targets!K10</f>
        <v/>
      </c>
      <c r="L19" s="22">
        <f>Targets!L10</f>
        <v/>
      </c>
      <c r="M19" s="22">
        <f>Targets!M10</f>
        <v/>
      </c>
      <c r="N19" s="22">
        <f>Targets!N10</f>
        <v/>
      </c>
      <c r="O19" s="22">
        <f>Targets!O10</f>
        <v/>
      </c>
      <c r="P19" s="22">
        <f>Targets!P10</f>
        <v/>
      </c>
      <c r="Q19" s="22">
        <f>Targets!Q10</f>
        <v/>
      </c>
      <c r="R19" s="22">
        <f>Targets!R10</f>
        <v/>
      </c>
      <c r="S19" s="22">
        <f>Targets!S10</f>
        <v/>
      </c>
      <c r="T19" s="22">
        <f>Targets!T10</f>
        <v/>
      </c>
      <c r="U19" s="22">
        <f>Targets!U10</f>
        <v/>
      </c>
      <c r="V19" s="22">
        <f>Targets!V10</f>
        <v/>
      </c>
      <c r="W19" s="22">
        <f>Targets!W10</f>
        <v/>
      </c>
      <c r="X19" s="22">
        <f>Targets!X10</f>
        <v/>
      </c>
      <c r="Y19" s="22">
        <f>Targets!Y10</f>
        <v/>
      </c>
      <c r="Z19" s="22">
        <f>Targets!Z10</f>
        <v/>
      </c>
      <c r="AA19" s="22">
        <f>Targets!AA10</f>
        <v/>
      </c>
      <c r="AB19" s="22">
        <f>Targets!AB10</f>
        <v/>
      </c>
      <c r="AC19" s="22">
        <f>Targets!AC10</f>
        <v/>
      </c>
      <c r="AD19" s="22">
        <f>Targets!AD10</f>
        <v/>
      </c>
      <c r="AE19" s="22">
        <f>Targets!AE10</f>
        <v/>
      </c>
      <c r="AF19" s="22">
        <f>Targets!AF10</f>
        <v/>
      </c>
      <c r="AG19" s="22">
        <f>Targets!AG10</f>
        <v/>
      </c>
      <c r="AH19" s="22">
        <f>Targets!AH10</f>
        <v/>
      </c>
      <c r="AI19" s="22">
        <f>Targets!AI10</f>
        <v/>
      </c>
      <c r="AJ19" s="22">
        <f>Targets!AJ10</f>
        <v/>
      </c>
      <c r="AK19" s="22">
        <f>Targets!AK10</f>
        <v/>
      </c>
      <c r="AL19" s="22">
        <f>Targets!AL10</f>
        <v/>
      </c>
      <c r="AM19" s="22">
        <f>Targets!AM10</f>
        <v/>
      </c>
      <c r="AN19" s="22">
        <f>Targets!AN10</f>
        <v/>
      </c>
      <c r="AO19" s="22">
        <f>Targets!AO10</f>
        <v/>
      </c>
      <c r="AP19" s="22">
        <f>Targets!AP10</f>
        <v/>
      </c>
      <c r="AQ19" s="22">
        <f>Targets!AQ10</f>
        <v/>
      </c>
      <c r="AR19" s="22">
        <f>Targets!AR10</f>
        <v/>
      </c>
      <c r="AS19" s="22">
        <f>Targets!AS10</f>
        <v/>
      </c>
      <c r="AT19" s="22">
        <f>Targets!AT10</f>
        <v/>
      </c>
      <c r="AU19" s="22">
        <f>Targets!AU10</f>
        <v/>
      </c>
      <c r="AV19" s="22">
        <f>Targets!AV10</f>
        <v/>
      </c>
      <c r="AW19" s="22">
        <f>Targets!AW10</f>
        <v/>
      </c>
      <c r="AX19" s="22">
        <f>Targets!AX10</f>
        <v/>
      </c>
    </row>
    <row r="20">
      <c r="A20" t="inlineStr">
        <is>
          <t>Offshore contractors — Actual</t>
        </is>
      </c>
      <c r="B20" s="5" t="inlineStr">
        <is>
          <t>$K · org input</t>
        </is>
      </c>
      <c r="C20" s="23" t="n">
        <v>0</v>
      </c>
      <c r="D20" s="23" t="n">
        <v>0</v>
      </c>
      <c r="E20" s="23" t="n">
        <v>10</v>
      </c>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row>
    <row r="21">
      <c r="A21" t="inlineStr">
        <is>
          <t>Onshore contractors — Target</t>
        </is>
      </c>
      <c r="B21" s="5" t="inlineStr">
        <is>
          <t>$K · linked</t>
        </is>
      </c>
      <c r="C21" s="22">
        <f>Targets!C11</f>
        <v/>
      </c>
      <c r="D21" s="22">
        <f>Targets!D11</f>
        <v/>
      </c>
      <c r="E21" s="22">
        <f>Targets!E11</f>
        <v/>
      </c>
      <c r="F21" s="22">
        <f>Targets!F11</f>
        <v/>
      </c>
      <c r="G21" s="22">
        <f>Targets!G11</f>
        <v/>
      </c>
      <c r="H21" s="22">
        <f>Targets!H11</f>
        <v/>
      </c>
      <c r="I21" s="22">
        <f>Targets!I11</f>
        <v/>
      </c>
      <c r="J21" s="22">
        <f>Targets!J11</f>
        <v/>
      </c>
      <c r="K21" s="22">
        <f>Targets!K11</f>
        <v/>
      </c>
      <c r="L21" s="22">
        <f>Targets!L11</f>
        <v/>
      </c>
      <c r="M21" s="22">
        <f>Targets!M11</f>
        <v/>
      </c>
      <c r="N21" s="22">
        <f>Targets!N11</f>
        <v/>
      </c>
      <c r="O21" s="22">
        <f>Targets!O11</f>
        <v/>
      </c>
      <c r="P21" s="22">
        <f>Targets!P11</f>
        <v/>
      </c>
      <c r="Q21" s="22">
        <f>Targets!Q11</f>
        <v/>
      </c>
      <c r="R21" s="22">
        <f>Targets!R11</f>
        <v/>
      </c>
      <c r="S21" s="22">
        <f>Targets!S11</f>
        <v/>
      </c>
      <c r="T21" s="22">
        <f>Targets!T11</f>
        <v/>
      </c>
      <c r="U21" s="22">
        <f>Targets!U11</f>
        <v/>
      </c>
      <c r="V21" s="22">
        <f>Targets!V11</f>
        <v/>
      </c>
      <c r="W21" s="22">
        <f>Targets!W11</f>
        <v/>
      </c>
      <c r="X21" s="22">
        <f>Targets!X11</f>
        <v/>
      </c>
      <c r="Y21" s="22">
        <f>Targets!Y11</f>
        <v/>
      </c>
      <c r="Z21" s="22">
        <f>Targets!Z11</f>
        <v/>
      </c>
      <c r="AA21" s="22">
        <f>Targets!AA11</f>
        <v/>
      </c>
      <c r="AB21" s="22">
        <f>Targets!AB11</f>
        <v/>
      </c>
      <c r="AC21" s="22">
        <f>Targets!AC11</f>
        <v/>
      </c>
      <c r="AD21" s="22">
        <f>Targets!AD11</f>
        <v/>
      </c>
      <c r="AE21" s="22">
        <f>Targets!AE11</f>
        <v/>
      </c>
      <c r="AF21" s="22">
        <f>Targets!AF11</f>
        <v/>
      </c>
      <c r="AG21" s="22">
        <f>Targets!AG11</f>
        <v/>
      </c>
      <c r="AH21" s="22">
        <f>Targets!AH11</f>
        <v/>
      </c>
      <c r="AI21" s="22">
        <f>Targets!AI11</f>
        <v/>
      </c>
      <c r="AJ21" s="22">
        <f>Targets!AJ11</f>
        <v/>
      </c>
      <c r="AK21" s="22">
        <f>Targets!AK11</f>
        <v/>
      </c>
      <c r="AL21" s="22">
        <f>Targets!AL11</f>
        <v/>
      </c>
      <c r="AM21" s="22">
        <f>Targets!AM11</f>
        <v/>
      </c>
      <c r="AN21" s="22">
        <f>Targets!AN11</f>
        <v/>
      </c>
      <c r="AO21" s="22">
        <f>Targets!AO11</f>
        <v/>
      </c>
      <c r="AP21" s="22">
        <f>Targets!AP11</f>
        <v/>
      </c>
      <c r="AQ21" s="22">
        <f>Targets!AQ11</f>
        <v/>
      </c>
      <c r="AR21" s="22">
        <f>Targets!AR11</f>
        <v/>
      </c>
      <c r="AS21" s="22">
        <f>Targets!AS11</f>
        <v/>
      </c>
      <c r="AT21" s="22">
        <f>Targets!AT11</f>
        <v/>
      </c>
      <c r="AU21" s="22">
        <f>Targets!AU11</f>
        <v/>
      </c>
      <c r="AV21" s="22">
        <f>Targets!AV11</f>
        <v/>
      </c>
      <c r="AW21" s="22">
        <f>Targets!AW11</f>
        <v/>
      </c>
      <c r="AX21" s="22">
        <f>Targets!AX11</f>
        <v/>
      </c>
    </row>
    <row r="22">
      <c r="A22" t="inlineStr">
        <is>
          <t>Onshore contractors — Actual</t>
        </is>
      </c>
      <c r="B22" s="5" t="inlineStr">
        <is>
          <t>$K · org input</t>
        </is>
      </c>
      <c r="C22" s="23" t="n">
        <v>0</v>
      </c>
      <c r="D22" s="23" t="n">
        <v>0</v>
      </c>
      <c r="E22" s="23" t="n">
        <v>5</v>
      </c>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row>
    <row r="23">
      <c r="A23" t="inlineStr">
        <is>
          <t>Employees / Other — Target</t>
        </is>
      </c>
      <c r="B23" s="5" t="inlineStr">
        <is>
          <t>$K · linked</t>
        </is>
      </c>
      <c r="C23" s="22">
        <f>Targets!C12</f>
        <v/>
      </c>
      <c r="D23" s="22">
        <f>Targets!D12</f>
        <v/>
      </c>
      <c r="E23" s="22">
        <f>Targets!E12</f>
        <v/>
      </c>
      <c r="F23" s="22">
        <f>Targets!F12</f>
        <v/>
      </c>
      <c r="G23" s="22">
        <f>Targets!G12</f>
        <v/>
      </c>
      <c r="H23" s="22">
        <f>Targets!H12</f>
        <v/>
      </c>
      <c r="I23" s="22">
        <f>Targets!I12</f>
        <v/>
      </c>
      <c r="J23" s="22">
        <f>Targets!J12</f>
        <v/>
      </c>
      <c r="K23" s="22">
        <f>Targets!K12</f>
        <v/>
      </c>
      <c r="L23" s="22">
        <f>Targets!L12</f>
        <v/>
      </c>
      <c r="M23" s="22">
        <f>Targets!M12</f>
        <v/>
      </c>
      <c r="N23" s="22">
        <f>Targets!N12</f>
        <v/>
      </c>
      <c r="O23" s="22">
        <f>Targets!O12</f>
        <v/>
      </c>
      <c r="P23" s="22">
        <f>Targets!P12</f>
        <v/>
      </c>
      <c r="Q23" s="22">
        <f>Targets!Q12</f>
        <v/>
      </c>
      <c r="R23" s="22">
        <f>Targets!R12</f>
        <v/>
      </c>
      <c r="S23" s="22">
        <f>Targets!S12</f>
        <v/>
      </c>
      <c r="T23" s="22">
        <f>Targets!T12</f>
        <v/>
      </c>
      <c r="U23" s="22">
        <f>Targets!U12</f>
        <v/>
      </c>
      <c r="V23" s="22">
        <f>Targets!V12</f>
        <v/>
      </c>
      <c r="W23" s="22">
        <f>Targets!W12</f>
        <v/>
      </c>
      <c r="X23" s="22">
        <f>Targets!X12</f>
        <v/>
      </c>
      <c r="Y23" s="22">
        <f>Targets!Y12</f>
        <v/>
      </c>
      <c r="Z23" s="22">
        <f>Targets!Z12</f>
        <v/>
      </c>
      <c r="AA23" s="22">
        <f>Targets!AA12</f>
        <v/>
      </c>
      <c r="AB23" s="22">
        <f>Targets!AB12</f>
        <v/>
      </c>
      <c r="AC23" s="22">
        <f>Targets!AC12</f>
        <v/>
      </c>
      <c r="AD23" s="22">
        <f>Targets!AD12</f>
        <v/>
      </c>
      <c r="AE23" s="22">
        <f>Targets!AE12</f>
        <v/>
      </c>
      <c r="AF23" s="22">
        <f>Targets!AF12</f>
        <v/>
      </c>
      <c r="AG23" s="22">
        <f>Targets!AG12</f>
        <v/>
      </c>
      <c r="AH23" s="22">
        <f>Targets!AH12</f>
        <v/>
      </c>
      <c r="AI23" s="22">
        <f>Targets!AI12</f>
        <v/>
      </c>
      <c r="AJ23" s="22">
        <f>Targets!AJ12</f>
        <v/>
      </c>
      <c r="AK23" s="22">
        <f>Targets!AK12</f>
        <v/>
      </c>
      <c r="AL23" s="22">
        <f>Targets!AL12</f>
        <v/>
      </c>
      <c r="AM23" s="22">
        <f>Targets!AM12</f>
        <v/>
      </c>
      <c r="AN23" s="22">
        <f>Targets!AN12</f>
        <v/>
      </c>
      <c r="AO23" s="22">
        <f>Targets!AO12</f>
        <v/>
      </c>
      <c r="AP23" s="22">
        <f>Targets!AP12</f>
        <v/>
      </c>
      <c r="AQ23" s="22">
        <f>Targets!AQ12</f>
        <v/>
      </c>
      <c r="AR23" s="22">
        <f>Targets!AR12</f>
        <v/>
      </c>
      <c r="AS23" s="22">
        <f>Targets!AS12</f>
        <v/>
      </c>
      <c r="AT23" s="22">
        <f>Targets!AT12</f>
        <v/>
      </c>
      <c r="AU23" s="22">
        <f>Targets!AU12</f>
        <v/>
      </c>
      <c r="AV23" s="22">
        <f>Targets!AV12</f>
        <v/>
      </c>
      <c r="AW23" s="22">
        <f>Targets!AW12</f>
        <v/>
      </c>
      <c r="AX23" s="22">
        <f>Targets!AX12</f>
        <v/>
      </c>
    </row>
    <row r="24">
      <c r="A24" t="inlineStr">
        <is>
          <t>Employees / Other — Actual</t>
        </is>
      </c>
      <c r="B24" s="5" t="inlineStr">
        <is>
          <t>$K · org input</t>
        </is>
      </c>
      <c r="C24" s="23" t="n">
        <v>0</v>
      </c>
      <c r="D24" s="23" t="n">
        <v>0</v>
      </c>
      <c r="E24" s="23" t="n">
        <v>0</v>
      </c>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row>
    <row r="25">
      <c r="A25" t="inlineStr">
        <is>
          <t>Total gross reductions — Target</t>
        </is>
      </c>
      <c r="B25" s="5" t="inlineStr">
        <is>
          <t>$K · auto</t>
        </is>
      </c>
      <c r="C25" s="15">
        <f>C17+C19+C21+C23</f>
        <v/>
      </c>
      <c r="D25" s="15">
        <f>D17+D19+D21+D23</f>
        <v/>
      </c>
      <c r="E25" s="15">
        <f>E17+E19+E21+E23</f>
        <v/>
      </c>
      <c r="F25" s="15">
        <f>F17+F19+F21+F23</f>
        <v/>
      </c>
      <c r="G25" s="15">
        <f>G17+G19+G21+G23</f>
        <v/>
      </c>
      <c r="H25" s="15">
        <f>H17+H19+H21+H23</f>
        <v/>
      </c>
      <c r="I25" s="15">
        <f>I17+I19+I21+I23</f>
        <v/>
      </c>
      <c r="J25" s="15">
        <f>J17+J19+J21+J23</f>
        <v/>
      </c>
      <c r="K25" s="15">
        <f>K17+K19+K21+K23</f>
        <v/>
      </c>
      <c r="L25" s="15">
        <f>L17+L19+L21+L23</f>
        <v/>
      </c>
      <c r="M25" s="15">
        <f>M17+M19+M21+M23</f>
        <v/>
      </c>
      <c r="N25" s="15">
        <f>N17+N19+N21+N23</f>
        <v/>
      </c>
      <c r="O25" s="15">
        <f>O17+O19+O21+O23</f>
        <v/>
      </c>
      <c r="P25" s="15">
        <f>P17+P19+P21+P23</f>
        <v/>
      </c>
      <c r="Q25" s="15">
        <f>Q17+Q19+Q21+Q23</f>
        <v/>
      </c>
      <c r="R25" s="15">
        <f>R17+R19+R21+R23</f>
        <v/>
      </c>
      <c r="S25" s="15">
        <f>S17+S19+S21+S23</f>
        <v/>
      </c>
      <c r="T25" s="15">
        <f>T17+T19+T21+T23</f>
        <v/>
      </c>
      <c r="U25" s="15">
        <f>U17+U19+U21+U23</f>
        <v/>
      </c>
      <c r="V25" s="15">
        <f>V17+V19+V21+V23</f>
        <v/>
      </c>
      <c r="W25" s="15">
        <f>W17+W19+W21+W23</f>
        <v/>
      </c>
      <c r="X25" s="15">
        <f>X17+X19+X21+X23</f>
        <v/>
      </c>
      <c r="Y25" s="15">
        <f>Y17+Y19+Y21+Y23</f>
        <v/>
      </c>
      <c r="Z25" s="15">
        <f>Z17+Z19+Z21+Z23</f>
        <v/>
      </c>
      <c r="AA25" s="15">
        <f>AA17+AA19+AA21+AA23</f>
        <v/>
      </c>
      <c r="AB25" s="15">
        <f>AB17+AB19+AB21+AB23</f>
        <v/>
      </c>
      <c r="AC25" s="15">
        <f>AC17+AC19+AC21+AC23</f>
        <v/>
      </c>
      <c r="AD25" s="15">
        <f>AD17+AD19+AD21+AD23</f>
        <v/>
      </c>
      <c r="AE25" s="15">
        <f>AE17+AE19+AE21+AE23</f>
        <v/>
      </c>
      <c r="AF25" s="15">
        <f>AF17+AF19+AF21+AF23</f>
        <v/>
      </c>
      <c r="AG25" s="15">
        <f>AG17+AG19+AG21+AG23</f>
        <v/>
      </c>
      <c r="AH25" s="15">
        <f>AH17+AH19+AH21+AH23</f>
        <v/>
      </c>
      <c r="AI25" s="15">
        <f>AI17+AI19+AI21+AI23</f>
        <v/>
      </c>
      <c r="AJ25" s="15">
        <f>AJ17+AJ19+AJ21+AJ23</f>
        <v/>
      </c>
      <c r="AK25" s="15">
        <f>AK17+AK19+AK21+AK23</f>
        <v/>
      </c>
      <c r="AL25" s="15">
        <f>AL17+AL19+AL21+AL23</f>
        <v/>
      </c>
      <c r="AM25" s="15">
        <f>AM17+AM19+AM21+AM23</f>
        <v/>
      </c>
      <c r="AN25" s="15">
        <f>AN17+AN19+AN21+AN23</f>
        <v/>
      </c>
      <c r="AO25" s="15">
        <f>AO17+AO19+AO21+AO23</f>
        <v/>
      </c>
      <c r="AP25" s="15">
        <f>AP17+AP19+AP21+AP23</f>
        <v/>
      </c>
      <c r="AQ25" s="15">
        <f>AQ17+AQ19+AQ21+AQ23</f>
        <v/>
      </c>
      <c r="AR25" s="15">
        <f>AR17+AR19+AR21+AR23</f>
        <v/>
      </c>
      <c r="AS25" s="15">
        <f>AS17+AS19+AS21+AS23</f>
        <v/>
      </c>
      <c r="AT25" s="15">
        <f>AT17+AT19+AT21+AT23</f>
        <v/>
      </c>
      <c r="AU25" s="15">
        <f>AU17+AU19+AU21+AU23</f>
        <v/>
      </c>
      <c r="AV25" s="15">
        <f>AV17+AV19+AV21+AV23</f>
        <v/>
      </c>
      <c r="AW25" s="15">
        <f>AW17+AW19+AW21+AW23</f>
        <v/>
      </c>
      <c r="AX25" s="15">
        <f>AX17+AX19+AX21+AX23</f>
        <v/>
      </c>
    </row>
    <row r="26">
      <c r="A26" t="inlineStr">
        <is>
          <t>Total gross reductions — Actual</t>
        </is>
      </c>
      <c r="B26" s="5" t="inlineStr">
        <is>
          <t>$K · auto</t>
        </is>
      </c>
      <c r="C26" s="15">
        <f>C18+C20+C22+C24</f>
        <v/>
      </c>
      <c r="D26" s="15">
        <f>D18+D20+D22+D24</f>
        <v/>
      </c>
      <c r="E26" s="15">
        <f>E18+E20+E22+E24</f>
        <v/>
      </c>
      <c r="F26" s="15">
        <f>F18+F20+F22+F24</f>
        <v/>
      </c>
      <c r="G26" s="15">
        <f>G18+G20+G22+G24</f>
        <v/>
      </c>
      <c r="H26" s="15">
        <f>H18+H20+H22+H24</f>
        <v/>
      </c>
      <c r="I26" s="15">
        <f>I18+I20+I22+I24</f>
        <v/>
      </c>
      <c r="J26" s="15">
        <f>J18+J20+J22+J24</f>
        <v/>
      </c>
      <c r="K26" s="15">
        <f>K18+K20+K22+K24</f>
        <v/>
      </c>
      <c r="L26" s="15">
        <f>L18+L20+L22+L24</f>
        <v/>
      </c>
      <c r="M26" s="15">
        <f>M18+M20+M22+M24</f>
        <v/>
      </c>
      <c r="N26" s="15">
        <f>N18+N20+N22+N24</f>
        <v/>
      </c>
      <c r="O26" s="15">
        <f>O18+O20+O22+O24</f>
        <v/>
      </c>
      <c r="P26" s="15">
        <f>P18+P20+P22+P24</f>
        <v/>
      </c>
      <c r="Q26" s="15">
        <f>Q18+Q20+Q22+Q24</f>
        <v/>
      </c>
      <c r="R26" s="15">
        <f>R18+R20+R22+R24</f>
        <v/>
      </c>
      <c r="S26" s="15">
        <f>S18+S20+S22+S24</f>
        <v/>
      </c>
      <c r="T26" s="15">
        <f>T18+T20+T22+T24</f>
        <v/>
      </c>
      <c r="U26" s="15">
        <f>U18+U20+U22+U24</f>
        <v/>
      </c>
      <c r="V26" s="15">
        <f>V18+V20+V22+V24</f>
        <v/>
      </c>
      <c r="W26" s="15">
        <f>W18+W20+W22+W24</f>
        <v/>
      </c>
      <c r="X26" s="15">
        <f>X18+X20+X22+X24</f>
        <v/>
      </c>
      <c r="Y26" s="15">
        <f>Y18+Y20+Y22+Y24</f>
        <v/>
      </c>
      <c r="Z26" s="15">
        <f>Z18+Z20+Z22+Z24</f>
        <v/>
      </c>
      <c r="AA26" s="15">
        <f>AA18+AA20+AA22+AA24</f>
        <v/>
      </c>
      <c r="AB26" s="15">
        <f>AB18+AB20+AB22+AB24</f>
        <v/>
      </c>
      <c r="AC26" s="15">
        <f>AC18+AC20+AC22+AC24</f>
        <v/>
      </c>
      <c r="AD26" s="15">
        <f>AD18+AD20+AD22+AD24</f>
        <v/>
      </c>
      <c r="AE26" s="15">
        <f>AE18+AE20+AE22+AE24</f>
        <v/>
      </c>
      <c r="AF26" s="15">
        <f>AF18+AF20+AF22+AF24</f>
        <v/>
      </c>
      <c r="AG26" s="15">
        <f>AG18+AG20+AG22+AG24</f>
        <v/>
      </c>
      <c r="AH26" s="15">
        <f>AH18+AH20+AH22+AH24</f>
        <v/>
      </c>
      <c r="AI26" s="15">
        <f>AI18+AI20+AI22+AI24</f>
        <v/>
      </c>
      <c r="AJ26" s="15">
        <f>AJ18+AJ20+AJ22+AJ24</f>
        <v/>
      </c>
      <c r="AK26" s="15">
        <f>AK18+AK20+AK22+AK24</f>
        <v/>
      </c>
      <c r="AL26" s="15">
        <f>AL18+AL20+AL22+AL24</f>
        <v/>
      </c>
      <c r="AM26" s="15">
        <f>AM18+AM20+AM22+AM24</f>
        <v/>
      </c>
      <c r="AN26" s="15">
        <f>AN18+AN20+AN22+AN24</f>
        <v/>
      </c>
      <c r="AO26" s="15">
        <f>AO18+AO20+AO22+AO24</f>
        <v/>
      </c>
      <c r="AP26" s="15">
        <f>AP18+AP20+AP22+AP24</f>
        <v/>
      </c>
      <c r="AQ26" s="15">
        <f>AQ18+AQ20+AQ22+AQ24</f>
        <v/>
      </c>
      <c r="AR26" s="15">
        <f>AR18+AR20+AR22+AR24</f>
        <v/>
      </c>
      <c r="AS26" s="15">
        <f>AS18+AS20+AS22+AS24</f>
        <v/>
      </c>
      <c r="AT26" s="15">
        <f>AT18+AT20+AT22+AT24</f>
        <v/>
      </c>
      <c r="AU26" s="15">
        <f>AU18+AU20+AU22+AU24</f>
        <v/>
      </c>
      <c r="AV26" s="15">
        <f>AV18+AV20+AV22+AV24</f>
        <v/>
      </c>
      <c r="AW26" s="15">
        <f>AW18+AW20+AW22+AW24</f>
        <v/>
      </c>
      <c r="AX26" s="15">
        <f>AX18+AX20+AX22+AX24</f>
        <v/>
      </c>
    </row>
    <row r="27">
      <c r="A27" t="inlineStr">
        <is>
          <t>Gross reductions variance</t>
        </is>
      </c>
      <c r="B27" s="5" t="inlineStr">
        <is>
          <t>$K · auto</t>
        </is>
      </c>
      <c r="C27" s="24">
        <f>C26-C25</f>
        <v/>
      </c>
      <c r="D27" s="24">
        <f>D26-D25</f>
        <v/>
      </c>
      <c r="E27" s="24">
        <f>E26-E25</f>
        <v/>
      </c>
      <c r="F27" s="24">
        <f>F26-F25</f>
        <v/>
      </c>
      <c r="G27" s="24">
        <f>G26-G25</f>
        <v/>
      </c>
      <c r="H27" s="24">
        <f>H26-H25</f>
        <v/>
      </c>
      <c r="I27" s="24">
        <f>I26-I25</f>
        <v/>
      </c>
      <c r="J27" s="24">
        <f>J26-J25</f>
        <v/>
      </c>
      <c r="K27" s="24">
        <f>K26-K25</f>
        <v/>
      </c>
      <c r="L27" s="24">
        <f>L26-L25</f>
        <v/>
      </c>
      <c r="M27" s="24">
        <f>M26-M25</f>
        <v/>
      </c>
      <c r="N27" s="24">
        <f>N26-N25</f>
        <v/>
      </c>
      <c r="O27" s="24">
        <f>O26-O25</f>
        <v/>
      </c>
      <c r="P27" s="24">
        <f>P26-P25</f>
        <v/>
      </c>
      <c r="Q27" s="24">
        <f>Q26-Q25</f>
        <v/>
      </c>
      <c r="R27" s="24">
        <f>R26-R25</f>
        <v/>
      </c>
      <c r="S27" s="24">
        <f>S26-S25</f>
        <v/>
      </c>
      <c r="T27" s="24">
        <f>T26-T25</f>
        <v/>
      </c>
      <c r="U27" s="24">
        <f>U26-U25</f>
        <v/>
      </c>
      <c r="V27" s="24">
        <f>V26-V25</f>
        <v/>
      </c>
      <c r="W27" s="24">
        <f>W26-W25</f>
        <v/>
      </c>
      <c r="X27" s="24">
        <f>X26-X25</f>
        <v/>
      </c>
      <c r="Y27" s="24">
        <f>Y26-Y25</f>
        <v/>
      </c>
      <c r="Z27" s="24">
        <f>Z26-Z25</f>
        <v/>
      </c>
      <c r="AA27" s="24">
        <f>AA26-AA25</f>
        <v/>
      </c>
      <c r="AB27" s="24">
        <f>AB26-AB25</f>
        <v/>
      </c>
      <c r="AC27" s="24">
        <f>AC26-AC25</f>
        <v/>
      </c>
      <c r="AD27" s="24">
        <f>AD26-AD25</f>
        <v/>
      </c>
      <c r="AE27" s="24">
        <f>AE26-AE25</f>
        <v/>
      </c>
      <c r="AF27" s="24">
        <f>AF26-AF25</f>
        <v/>
      </c>
      <c r="AG27" s="24">
        <f>AG26-AG25</f>
        <v/>
      </c>
      <c r="AH27" s="24">
        <f>AH26-AH25</f>
        <v/>
      </c>
      <c r="AI27" s="24">
        <f>AI26-AI25</f>
        <v/>
      </c>
      <c r="AJ27" s="24">
        <f>AJ26-AJ25</f>
        <v/>
      </c>
      <c r="AK27" s="24">
        <f>AK26-AK25</f>
        <v/>
      </c>
      <c r="AL27" s="24">
        <f>AL26-AL25</f>
        <v/>
      </c>
      <c r="AM27" s="24">
        <f>AM26-AM25</f>
        <v/>
      </c>
      <c r="AN27" s="24">
        <f>AN26-AN25</f>
        <v/>
      </c>
      <c r="AO27" s="24">
        <f>AO26-AO25</f>
        <v/>
      </c>
      <c r="AP27" s="24">
        <f>AP26-AP25</f>
        <v/>
      </c>
      <c r="AQ27" s="24">
        <f>AQ26-AQ25</f>
        <v/>
      </c>
      <c r="AR27" s="24">
        <f>AR26-AR25</f>
        <v/>
      </c>
      <c r="AS27" s="24">
        <f>AS26-AS25</f>
        <v/>
      </c>
      <c r="AT27" s="24">
        <f>AT26-AT25</f>
        <v/>
      </c>
      <c r="AU27" s="24">
        <f>AU26-AU25</f>
        <v/>
      </c>
      <c r="AV27" s="24">
        <f>AV26-AV25</f>
        <v/>
      </c>
      <c r="AW27" s="24">
        <f>AW26-AW25</f>
        <v/>
      </c>
      <c r="AX27" s="24">
        <f>AX26-AX25</f>
        <v/>
      </c>
    </row>
    <row r="28">
      <c r="A28" t="inlineStr">
        <is>
          <t>Headcount reduced in month — Actual</t>
        </is>
      </c>
      <c r="B28" s="5" t="inlineStr">
        <is>
          <t>heads · org input</t>
        </is>
      </c>
      <c r="C28" s="25" t="n">
        <v>0</v>
      </c>
      <c r="D28" s="25" t="n">
        <v>1</v>
      </c>
      <c r="E28" s="25" t="n">
        <v>3</v>
      </c>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c r="Z28" s="25" t="n"/>
      <c r="AA28" s="25" t="n"/>
      <c r="AB28" s="25" t="n"/>
      <c r="AC28" s="25" t="n"/>
      <c r="AD28" s="25" t="n"/>
      <c r="AE28" s="25" t="n"/>
      <c r="AF28" s="25" t="n"/>
      <c r="AG28" s="25" t="n"/>
      <c r="AH28" s="25" t="n"/>
      <c r="AI28" s="25" t="n"/>
      <c r="AJ28" s="25" t="n"/>
      <c r="AK28" s="25" t="n"/>
      <c r="AL28" s="25" t="n"/>
      <c r="AM28" s="25" t="n"/>
      <c r="AN28" s="25" t="n"/>
      <c r="AO28" s="25" t="n"/>
      <c r="AP28" s="25" t="n"/>
      <c r="AQ28" s="25" t="n"/>
      <c r="AR28" s="25" t="n"/>
      <c r="AS28" s="25" t="n"/>
      <c r="AT28" s="25" t="n"/>
      <c r="AU28" s="25" t="n"/>
      <c r="AV28" s="25" t="n"/>
      <c r="AW28" s="25" t="n"/>
      <c r="AX28" s="25" t="n"/>
    </row>
    <row r="29">
      <c r="A29" t="inlineStr">
        <is>
          <t>Exit run-rate of reductions (annualized)</t>
        </is>
      </c>
      <c r="B29" s="5" t="inlineStr">
        <is>
          <t>$K · org input</t>
        </is>
      </c>
      <c r="C29" s="23" t="n">
        <v>0</v>
      </c>
      <c r="D29" s="23" t="n">
        <v>240</v>
      </c>
      <c r="E29" s="23" t="n">
        <v>720</v>
      </c>
      <c r="F29" s="23" t="n"/>
      <c r="G29" s="23" t="n"/>
      <c r="H29" s="23" t="n"/>
      <c r="I29" s="23" t="n"/>
      <c r="J29" s="23" t="n"/>
      <c r="K29" s="23" t="n"/>
      <c r="L29" s="23" t="n"/>
      <c r="M29" s="23" t="n"/>
      <c r="N29" s="23" t="n"/>
      <c r="O29" s="23" t="n"/>
      <c r="P29" s="23" t="n"/>
      <c r="Q29" s="23" t="n"/>
      <c r="R29" s="23" t="n"/>
      <c r="S29" s="23" t="n"/>
      <c r="T29" s="23" t="n"/>
      <c r="U29" s="23" t="n"/>
      <c r="V29" s="23" t="n"/>
      <c r="W29" s="23" t="n"/>
      <c r="X29" s="23" t="n"/>
      <c r="Y29" s="23" t="n"/>
      <c r="Z29" s="23" t="n"/>
      <c r="AA29" s="23" t="n"/>
      <c r="AB29" s="23" t="n"/>
      <c r="AC29" s="23" t="n"/>
      <c r="AD29" s="23" t="n"/>
      <c r="AE29" s="23" t="n"/>
      <c r="AF29" s="23" t="n"/>
      <c r="AG29" s="23" t="n"/>
      <c r="AH29" s="23" t="n"/>
      <c r="AI29" s="23" t="n"/>
      <c r="AJ29" s="23" t="n"/>
      <c r="AK29" s="23" t="n"/>
      <c r="AL29" s="23" t="n"/>
      <c r="AM29" s="23" t="n"/>
      <c r="AN29" s="23" t="n"/>
      <c r="AO29" s="23" t="n"/>
      <c r="AP29" s="23" t="n"/>
      <c r="AQ29" s="23" t="n"/>
      <c r="AR29" s="23" t="n"/>
      <c r="AS29" s="23" t="n"/>
      <c r="AT29" s="23" t="n"/>
      <c r="AU29" s="23" t="n"/>
      <c r="AV29" s="23" t="n"/>
      <c r="AW29" s="23" t="n"/>
      <c r="AX29" s="23" t="n"/>
    </row>
    <row r="30">
      <c r="A30" s="11" t="inlineStr">
        <is>
          <t>C.  INDIA COST ADDS</t>
        </is>
      </c>
      <c r="B30" s="16" t="inlineStr"/>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row>
    <row r="31">
      <c r="A31" t="inlineStr">
        <is>
          <t>India loaded cost adds — Target</t>
        </is>
      </c>
      <c r="B31" s="5" t="inlineStr">
        <is>
          <t>$K · linked</t>
        </is>
      </c>
      <c r="C31" s="22">
        <f>Targets!C13</f>
        <v/>
      </c>
      <c r="D31" s="22">
        <f>Targets!D13</f>
        <v/>
      </c>
      <c r="E31" s="22">
        <f>Targets!E13</f>
        <v/>
      </c>
      <c r="F31" s="22">
        <f>Targets!F13</f>
        <v/>
      </c>
      <c r="G31" s="22">
        <f>Targets!G13</f>
        <v/>
      </c>
      <c r="H31" s="22">
        <f>Targets!H13</f>
        <v/>
      </c>
      <c r="I31" s="22">
        <f>Targets!I13</f>
        <v/>
      </c>
      <c r="J31" s="22">
        <f>Targets!J13</f>
        <v/>
      </c>
      <c r="K31" s="22">
        <f>Targets!K13</f>
        <v/>
      </c>
      <c r="L31" s="22">
        <f>Targets!L13</f>
        <v/>
      </c>
      <c r="M31" s="22">
        <f>Targets!M13</f>
        <v/>
      </c>
      <c r="N31" s="22">
        <f>Targets!N13</f>
        <v/>
      </c>
      <c r="O31" s="22">
        <f>Targets!O13</f>
        <v/>
      </c>
      <c r="P31" s="22">
        <f>Targets!P13</f>
        <v/>
      </c>
      <c r="Q31" s="22">
        <f>Targets!Q13</f>
        <v/>
      </c>
      <c r="R31" s="22">
        <f>Targets!R13</f>
        <v/>
      </c>
      <c r="S31" s="22">
        <f>Targets!S13</f>
        <v/>
      </c>
      <c r="T31" s="22">
        <f>Targets!T13</f>
        <v/>
      </c>
      <c r="U31" s="22">
        <f>Targets!U13</f>
        <v/>
      </c>
      <c r="V31" s="22">
        <f>Targets!V13</f>
        <v/>
      </c>
      <c r="W31" s="22">
        <f>Targets!W13</f>
        <v/>
      </c>
      <c r="X31" s="22">
        <f>Targets!X13</f>
        <v/>
      </c>
      <c r="Y31" s="22">
        <f>Targets!Y13</f>
        <v/>
      </c>
      <c r="Z31" s="22">
        <f>Targets!Z13</f>
        <v/>
      </c>
      <c r="AA31" s="22">
        <f>Targets!AA13</f>
        <v/>
      </c>
      <c r="AB31" s="22">
        <f>Targets!AB13</f>
        <v/>
      </c>
      <c r="AC31" s="22">
        <f>Targets!AC13</f>
        <v/>
      </c>
      <c r="AD31" s="22">
        <f>Targets!AD13</f>
        <v/>
      </c>
      <c r="AE31" s="22">
        <f>Targets!AE13</f>
        <v/>
      </c>
      <c r="AF31" s="22">
        <f>Targets!AF13</f>
        <v/>
      </c>
      <c r="AG31" s="22">
        <f>Targets!AG13</f>
        <v/>
      </c>
      <c r="AH31" s="22">
        <f>Targets!AH13</f>
        <v/>
      </c>
      <c r="AI31" s="22">
        <f>Targets!AI13</f>
        <v/>
      </c>
      <c r="AJ31" s="22">
        <f>Targets!AJ13</f>
        <v/>
      </c>
      <c r="AK31" s="22">
        <f>Targets!AK13</f>
        <v/>
      </c>
      <c r="AL31" s="22">
        <f>Targets!AL13</f>
        <v/>
      </c>
      <c r="AM31" s="22">
        <f>Targets!AM13</f>
        <v/>
      </c>
      <c r="AN31" s="22">
        <f>Targets!AN13</f>
        <v/>
      </c>
      <c r="AO31" s="22">
        <f>Targets!AO13</f>
        <v/>
      </c>
      <c r="AP31" s="22">
        <f>Targets!AP13</f>
        <v/>
      </c>
      <c r="AQ31" s="22">
        <f>Targets!AQ13</f>
        <v/>
      </c>
      <c r="AR31" s="22">
        <f>Targets!AR13</f>
        <v/>
      </c>
      <c r="AS31" s="22">
        <f>Targets!AS13</f>
        <v/>
      </c>
      <c r="AT31" s="22">
        <f>Targets!AT13</f>
        <v/>
      </c>
      <c r="AU31" s="22">
        <f>Targets!AU13</f>
        <v/>
      </c>
      <c r="AV31" s="22">
        <f>Targets!AV13</f>
        <v/>
      </c>
      <c r="AW31" s="22">
        <f>Targets!AW13</f>
        <v/>
      </c>
      <c r="AX31" s="22">
        <f>Targets!AX13</f>
        <v/>
      </c>
    </row>
    <row r="32">
      <c r="A32" t="inlineStr">
        <is>
          <t>India loaded cost adds — Actual</t>
        </is>
      </c>
      <c r="B32" s="5" t="inlineStr">
        <is>
          <t>$K · org input</t>
        </is>
      </c>
      <c r="C32" s="23" t="n">
        <v>19</v>
      </c>
      <c r="D32" s="23" t="n">
        <v>41</v>
      </c>
      <c r="E32" s="23" t="n">
        <v>64</v>
      </c>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row>
    <row r="33">
      <c r="A33" t="inlineStr">
        <is>
          <t>One-time transition costs (memo — never net)</t>
        </is>
      </c>
      <c r="B33" s="5" t="inlineStr">
        <is>
          <t>$K · org input</t>
        </is>
      </c>
      <c r="C33" s="23" t="n">
        <v>35</v>
      </c>
      <c r="D33" s="23" t="n">
        <v>15</v>
      </c>
      <c r="E33" s="23" t="n">
        <v>10</v>
      </c>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row>
    <row r="34">
      <c r="A34" s="11" t="inlineStr">
        <is>
          <t>D.  NET LABOR ARBITRAGE  (B − C)</t>
        </is>
      </c>
      <c r="B34" s="16" t="inlineStr"/>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row>
    <row r="35">
      <c r="A35" t="inlineStr">
        <is>
          <t>Net labor arbitrage — Target</t>
        </is>
      </c>
      <c r="B35" s="5" t="inlineStr">
        <is>
          <t>$K · linked</t>
        </is>
      </c>
      <c r="C35" s="22">
        <f>Targets!C14</f>
        <v/>
      </c>
      <c r="D35" s="22">
        <f>Targets!D14</f>
        <v/>
      </c>
      <c r="E35" s="22">
        <f>Targets!E14</f>
        <v/>
      </c>
      <c r="F35" s="22">
        <f>Targets!F14</f>
        <v/>
      </c>
      <c r="G35" s="22">
        <f>Targets!G14</f>
        <v/>
      </c>
      <c r="H35" s="22">
        <f>Targets!H14</f>
        <v/>
      </c>
      <c r="I35" s="22">
        <f>Targets!I14</f>
        <v/>
      </c>
      <c r="J35" s="22">
        <f>Targets!J14</f>
        <v/>
      </c>
      <c r="K35" s="22">
        <f>Targets!K14</f>
        <v/>
      </c>
      <c r="L35" s="22">
        <f>Targets!L14</f>
        <v/>
      </c>
      <c r="M35" s="22">
        <f>Targets!M14</f>
        <v/>
      </c>
      <c r="N35" s="22">
        <f>Targets!N14</f>
        <v/>
      </c>
      <c r="O35" s="22">
        <f>Targets!O14</f>
        <v/>
      </c>
      <c r="P35" s="22">
        <f>Targets!P14</f>
        <v/>
      </c>
      <c r="Q35" s="22">
        <f>Targets!Q14</f>
        <v/>
      </c>
      <c r="R35" s="22">
        <f>Targets!R14</f>
        <v/>
      </c>
      <c r="S35" s="22">
        <f>Targets!S14</f>
        <v/>
      </c>
      <c r="T35" s="22">
        <f>Targets!T14</f>
        <v/>
      </c>
      <c r="U35" s="22">
        <f>Targets!U14</f>
        <v/>
      </c>
      <c r="V35" s="22">
        <f>Targets!V14</f>
        <v/>
      </c>
      <c r="W35" s="22">
        <f>Targets!W14</f>
        <v/>
      </c>
      <c r="X35" s="22">
        <f>Targets!X14</f>
        <v/>
      </c>
      <c r="Y35" s="22">
        <f>Targets!Y14</f>
        <v/>
      </c>
      <c r="Z35" s="22">
        <f>Targets!Z14</f>
        <v/>
      </c>
      <c r="AA35" s="22">
        <f>Targets!AA14</f>
        <v/>
      </c>
      <c r="AB35" s="22">
        <f>Targets!AB14</f>
        <v/>
      </c>
      <c r="AC35" s="22">
        <f>Targets!AC14</f>
        <v/>
      </c>
      <c r="AD35" s="22">
        <f>Targets!AD14</f>
        <v/>
      </c>
      <c r="AE35" s="22">
        <f>Targets!AE14</f>
        <v/>
      </c>
      <c r="AF35" s="22">
        <f>Targets!AF14</f>
        <v/>
      </c>
      <c r="AG35" s="22">
        <f>Targets!AG14</f>
        <v/>
      </c>
      <c r="AH35" s="22">
        <f>Targets!AH14</f>
        <v/>
      </c>
      <c r="AI35" s="22">
        <f>Targets!AI14</f>
        <v/>
      </c>
      <c r="AJ35" s="22">
        <f>Targets!AJ14</f>
        <v/>
      </c>
      <c r="AK35" s="22">
        <f>Targets!AK14</f>
        <v/>
      </c>
      <c r="AL35" s="22">
        <f>Targets!AL14</f>
        <v/>
      </c>
      <c r="AM35" s="22">
        <f>Targets!AM14</f>
        <v/>
      </c>
      <c r="AN35" s="22">
        <f>Targets!AN14</f>
        <v/>
      </c>
      <c r="AO35" s="22">
        <f>Targets!AO14</f>
        <v/>
      </c>
      <c r="AP35" s="22">
        <f>Targets!AP14</f>
        <v/>
      </c>
      <c r="AQ35" s="22">
        <f>Targets!AQ14</f>
        <v/>
      </c>
      <c r="AR35" s="22">
        <f>Targets!AR14</f>
        <v/>
      </c>
      <c r="AS35" s="22">
        <f>Targets!AS14</f>
        <v/>
      </c>
      <c r="AT35" s="22">
        <f>Targets!AT14</f>
        <v/>
      </c>
      <c r="AU35" s="22">
        <f>Targets!AU14</f>
        <v/>
      </c>
      <c r="AV35" s="22">
        <f>Targets!AV14</f>
        <v/>
      </c>
      <c r="AW35" s="22">
        <f>Targets!AW14</f>
        <v/>
      </c>
      <c r="AX35" s="22">
        <f>Targets!AX14</f>
        <v/>
      </c>
    </row>
    <row r="36">
      <c r="A36" t="inlineStr">
        <is>
          <t>Net labor arbitrage — Actual</t>
        </is>
      </c>
      <c r="B36" s="5" t="inlineStr">
        <is>
          <t>$K · auto</t>
        </is>
      </c>
      <c r="C36" s="15">
        <f>C26-C32</f>
        <v/>
      </c>
      <c r="D36" s="15">
        <f>D26-D32</f>
        <v/>
      </c>
      <c r="E36" s="15">
        <f>E26-E32</f>
        <v/>
      </c>
      <c r="F36" s="15">
        <f>F26-F32</f>
        <v/>
      </c>
      <c r="G36" s="15">
        <f>G26-G32</f>
        <v/>
      </c>
      <c r="H36" s="15">
        <f>H26-H32</f>
        <v/>
      </c>
      <c r="I36" s="15">
        <f>I26-I32</f>
        <v/>
      </c>
      <c r="J36" s="15">
        <f>J26-J32</f>
        <v/>
      </c>
      <c r="K36" s="15">
        <f>K26-K32</f>
        <v/>
      </c>
      <c r="L36" s="15">
        <f>L26-L32</f>
        <v/>
      </c>
      <c r="M36" s="15">
        <f>M26-M32</f>
        <v/>
      </c>
      <c r="N36" s="15">
        <f>N26-N32</f>
        <v/>
      </c>
      <c r="O36" s="15">
        <f>O26-O32</f>
        <v/>
      </c>
      <c r="P36" s="15">
        <f>P26-P32</f>
        <v/>
      </c>
      <c r="Q36" s="15">
        <f>Q26-Q32</f>
        <v/>
      </c>
      <c r="R36" s="15">
        <f>R26-R32</f>
        <v/>
      </c>
      <c r="S36" s="15">
        <f>S26-S32</f>
        <v/>
      </c>
      <c r="T36" s="15">
        <f>T26-T32</f>
        <v/>
      </c>
      <c r="U36" s="15">
        <f>U26-U32</f>
        <v/>
      </c>
      <c r="V36" s="15">
        <f>V26-V32</f>
        <v/>
      </c>
      <c r="W36" s="15">
        <f>W26-W32</f>
        <v/>
      </c>
      <c r="X36" s="15">
        <f>X26-X32</f>
        <v/>
      </c>
      <c r="Y36" s="15">
        <f>Y26-Y32</f>
        <v/>
      </c>
      <c r="Z36" s="15">
        <f>Z26-Z32</f>
        <v/>
      </c>
      <c r="AA36" s="15">
        <f>AA26-AA32</f>
        <v/>
      </c>
      <c r="AB36" s="15">
        <f>AB26-AB32</f>
        <v/>
      </c>
      <c r="AC36" s="15">
        <f>AC26-AC32</f>
        <v/>
      </c>
      <c r="AD36" s="15">
        <f>AD26-AD32</f>
        <v/>
      </c>
      <c r="AE36" s="15">
        <f>AE26-AE32</f>
        <v/>
      </c>
      <c r="AF36" s="15">
        <f>AF26-AF32</f>
        <v/>
      </c>
      <c r="AG36" s="15">
        <f>AG26-AG32</f>
        <v/>
      </c>
      <c r="AH36" s="15">
        <f>AH26-AH32</f>
        <v/>
      </c>
      <c r="AI36" s="15">
        <f>AI26-AI32</f>
        <v/>
      </c>
      <c r="AJ36" s="15">
        <f>AJ26-AJ32</f>
        <v/>
      </c>
      <c r="AK36" s="15">
        <f>AK26-AK32</f>
        <v/>
      </c>
      <c r="AL36" s="15">
        <f>AL26-AL32</f>
        <v/>
      </c>
      <c r="AM36" s="15">
        <f>AM26-AM32</f>
        <v/>
      </c>
      <c r="AN36" s="15">
        <f>AN26-AN32</f>
        <v/>
      </c>
      <c r="AO36" s="15">
        <f>AO26-AO32</f>
        <v/>
      </c>
      <c r="AP36" s="15">
        <f>AP26-AP32</f>
        <v/>
      </c>
      <c r="AQ36" s="15">
        <f>AQ26-AQ32</f>
        <v/>
      </c>
      <c r="AR36" s="15">
        <f>AR26-AR32</f>
        <v/>
      </c>
      <c r="AS36" s="15">
        <f>AS26-AS32</f>
        <v/>
      </c>
      <c r="AT36" s="15">
        <f>AT26-AT32</f>
        <v/>
      </c>
      <c r="AU36" s="15">
        <f>AU26-AU32</f>
        <v/>
      </c>
      <c r="AV36" s="15">
        <f>AV26-AV32</f>
        <v/>
      </c>
      <c r="AW36" s="15">
        <f>AW26-AW32</f>
        <v/>
      </c>
      <c r="AX36" s="15">
        <f>AX26-AX32</f>
        <v/>
      </c>
    </row>
    <row r="37">
      <c r="A37" t="inlineStr">
        <is>
          <t>Net variance (Actual − Target)</t>
        </is>
      </c>
      <c r="B37" s="5" t="inlineStr">
        <is>
          <t>$K · auto</t>
        </is>
      </c>
      <c r="C37" s="15">
        <f>C36-C35</f>
        <v/>
      </c>
      <c r="D37" s="15">
        <f>D36-D35</f>
        <v/>
      </c>
      <c r="E37" s="15">
        <f>E36-E35</f>
        <v/>
      </c>
      <c r="F37" s="15">
        <f>F36-F35</f>
        <v/>
      </c>
      <c r="G37" s="15">
        <f>G36-G35</f>
        <v/>
      </c>
      <c r="H37" s="15">
        <f>H36-H35</f>
        <v/>
      </c>
      <c r="I37" s="15">
        <f>I36-I35</f>
        <v/>
      </c>
      <c r="J37" s="15">
        <f>J36-J35</f>
        <v/>
      </c>
      <c r="K37" s="15">
        <f>K36-K35</f>
        <v/>
      </c>
      <c r="L37" s="15">
        <f>L36-L35</f>
        <v/>
      </c>
      <c r="M37" s="15">
        <f>M36-M35</f>
        <v/>
      </c>
      <c r="N37" s="15">
        <f>N36-N35</f>
        <v/>
      </c>
      <c r="O37" s="15">
        <f>O36-O35</f>
        <v/>
      </c>
      <c r="P37" s="15">
        <f>P36-P35</f>
        <v/>
      </c>
      <c r="Q37" s="15">
        <f>Q36-Q35</f>
        <v/>
      </c>
      <c r="R37" s="15">
        <f>R36-R35</f>
        <v/>
      </c>
      <c r="S37" s="15">
        <f>S36-S35</f>
        <v/>
      </c>
      <c r="T37" s="15">
        <f>T36-T35</f>
        <v/>
      </c>
      <c r="U37" s="15">
        <f>U36-U35</f>
        <v/>
      </c>
      <c r="V37" s="15">
        <f>V36-V35</f>
        <v/>
      </c>
      <c r="W37" s="15">
        <f>W36-W35</f>
        <v/>
      </c>
      <c r="X37" s="15">
        <f>X36-X35</f>
        <v/>
      </c>
      <c r="Y37" s="15">
        <f>Y36-Y35</f>
        <v/>
      </c>
      <c r="Z37" s="15">
        <f>Z36-Z35</f>
        <v/>
      </c>
      <c r="AA37" s="15">
        <f>AA36-AA35</f>
        <v/>
      </c>
      <c r="AB37" s="15">
        <f>AB36-AB35</f>
        <v/>
      </c>
      <c r="AC37" s="15">
        <f>AC36-AC35</f>
        <v/>
      </c>
      <c r="AD37" s="15">
        <f>AD36-AD35</f>
        <v/>
      </c>
      <c r="AE37" s="15">
        <f>AE36-AE35</f>
        <v/>
      </c>
      <c r="AF37" s="15">
        <f>AF36-AF35</f>
        <v/>
      </c>
      <c r="AG37" s="15">
        <f>AG36-AG35</f>
        <v/>
      </c>
      <c r="AH37" s="15">
        <f>AH36-AH35</f>
        <v/>
      </c>
      <c r="AI37" s="15">
        <f>AI36-AI35</f>
        <v/>
      </c>
      <c r="AJ37" s="15">
        <f>AJ36-AJ35</f>
        <v/>
      </c>
      <c r="AK37" s="15">
        <f>AK36-AK35</f>
        <v/>
      </c>
      <c r="AL37" s="15">
        <f>AL36-AL35</f>
        <v/>
      </c>
      <c r="AM37" s="15">
        <f>AM36-AM35</f>
        <v/>
      </c>
      <c r="AN37" s="15">
        <f>AN36-AN35</f>
        <v/>
      </c>
      <c r="AO37" s="15">
        <f>AO36-AO35</f>
        <v/>
      </c>
      <c r="AP37" s="15">
        <f>AP36-AP35</f>
        <v/>
      </c>
      <c r="AQ37" s="15">
        <f>AQ36-AQ35</f>
        <v/>
      </c>
      <c r="AR37" s="15">
        <f>AR36-AR35</f>
        <v/>
      </c>
      <c r="AS37" s="15">
        <f>AS36-AS35</f>
        <v/>
      </c>
      <c r="AT37" s="15">
        <f>AT36-AT35</f>
        <v/>
      </c>
      <c r="AU37" s="15">
        <f>AU36-AU35</f>
        <v/>
      </c>
      <c r="AV37" s="15">
        <f>AV36-AV35</f>
        <v/>
      </c>
      <c r="AW37" s="15">
        <f>AW36-AW35</f>
        <v/>
      </c>
      <c r="AX37" s="15">
        <f>AX36-AX35</f>
        <v/>
      </c>
    </row>
    <row r="38">
      <c r="A38" t="inlineStr">
        <is>
          <t>Cumulative net arbitrage — Target</t>
        </is>
      </c>
      <c r="B38" s="5" t="inlineStr">
        <is>
          <t>$K · auto</t>
        </is>
      </c>
      <c r="C38" s="15">
        <f>SUM($C35:C35)</f>
        <v/>
      </c>
      <c r="D38" s="15">
        <f>SUM($C35:D35)</f>
        <v/>
      </c>
      <c r="E38" s="15">
        <f>SUM($C35:E35)</f>
        <v/>
      </c>
      <c r="F38" s="15">
        <f>SUM($C35:F35)</f>
        <v/>
      </c>
      <c r="G38" s="15">
        <f>SUM($C35:G35)</f>
        <v/>
      </c>
      <c r="H38" s="15">
        <f>SUM($C35:H35)</f>
        <v/>
      </c>
      <c r="I38" s="15">
        <f>SUM($C35:I35)</f>
        <v/>
      </c>
      <c r="J38" s="15">
        <f>SUM($C35:J35)</f>
        <v/>
      </c>
      <c r="K38" s="15">
        <f>SUM($C35:K35)</f>
        <v/>
      </c>
      <c r="L38" s="15">
        <f>SUM($C35:L35)</f>
        <v/>
      </c>
      <c r="M38" s="15">
        <f>SUM($C35:M35)</f>
        <v/>
      </c>
      <c r="N38" s="15">
        <f>SUM($C35:N35)</f>
        <v/>
      </c>
      <c r="O38" s="15">
        <f>SUM($C35:O35)</f>
        <v/>
      </c>
      <c r="P38" s="15">
        <f>SUM($C35:P35)</f>
        <v/>
      </c>
      <c r="Q38" s="15">
        <f>SUM($C35:Q35)</f>
        <v/>
      </c>
      <c r="R38" s="15">
        <f>SUM($C35:R35)</f>
        <v/>
      </c>
      <c r="S38" s="15">
        <f>SUM($C35:S35)</f>
        <v/>
      </c>
      <c r="T38" s="15">
        <f>SUM($C35:T35)</f>
        <v/>
      </c>
      <c r="U38" s="15">
        <f>SUM($C35:U35)</f>
        <v/>
      </c>
      <c r="V38" s="15">
        <f>SUM($C35:V35)</f>
        <v/>
      </c>
      <c r="W38" s="15">
        <f>SUM($C35:W35)</f>
        <v/>
      </c>
      <c r="X38" s="15">
        <f>SUM($C35:X35)</f>
        <v/>
      </c>
      <c r="Y38" s="15">
        <f>SUM($C35:Y35)</f>
        <v/>
      </c>
      <c r="Z38" s="15">
        <f>SUM($C35:Z35)</f>
        <v/>
      </c>
      <c r="AA38" s="15">
        <f>SUM($C35:AA35)</f>
        <v/>
      </c>
      <c r="AB38" s="15">
        <f>SUM($C35:AB35)</f>
        <v/>
      </c>
      <c r="AC38" s="15">
        <f>SUM($C35:AC35)</f>
        <v/>
      </c>
      <c r="AD38" s="15">
        <f>SUM($C35:AD35)</f>
        <v/>
      </c>
      <c r="AE38" s="15">
        <f>SUM($C35:AE35)</f>
        <v/>
      </c>
      <c r="AF38" s="15">
        <f>SUM($C35:AF35)</f>
        <v/>
      </c>
      <c r="AG38" s="15">
        <f>SUM($C35:AG35)</f>
        <v/>
      </c>
      <c r="AH38" s="15">
        <f>SUM($C35:AH35)</f>
        <v/>
      </c>
      <c r="AI38" s="15">
        <f>SUM($C35:AI35)</f>
        <v/>
      </c>
      <c r="AJ38" s="15">
        <f>SUM($C35:AJ35)</f>
        <v/>
      </c>
      <c r="AK38" s="15">
        <f>SUM($C35:AK35)</f>
        <v/>
      </c>
      <c r="AL38" s="15">
        <f>SUM($C35:AL35)</f>
        <v/>
      </c>
      <c r="AM38" s="15">
        <f>SUM($C35:AM35)</f>
        <v/>
      </c>
      <c r="AN38" s="15">
        <f>SUM($C35:AN35)</f>
        <v/>
      </c>
      <c r="AO38" s="15">
        <f>SUM($C35:AO35)</f>
        <v/>
      </c>
      <c r="AP38" s="15">
        <f>SUM($C35:AP35)</f>
        <v/>
      </c>
      <c r="AQ38" s="15">
        <f>SUM($C35:AQ35)</f>
        <v/>
      </c>
      <c r="AR38" s="15">
        <f>SUM($C35:AR35)</f>
        <v/>
      </c>
      <c r="AS38" s="15">
        <f>SUM($C35:AS35)</f>
        <v/>
      </c>
      <c r="AT38" s="15">
        <f>SUM($C35:AT35)</f>
        <v/>
      </c>
      <c r="AU38" s="15">
        <f>SUM($C35:AU35)</f>
        <v/>
      </c>
      <c r="AV38" s="15">
        <f>SUM($C35:AV35)</f>
        <v/>
      </c>
      <c r="AW38" s="15">
        <f>SUM($C35:AW35)</f>
        <v/>
      </c>
      <c r="AX38" s="15">
        <f>SUM($C35:AX35)</f>
        <v/>
      </c>
    </row>
    <row r="39">
      <c r="A39" t="inlineStr">
        <is>
          <t>Cumulative net arbitrage — Actual</t>
        </is>
      </c>
      <c r="B39" s="5" t="inlineStr">
        <is>
          <t>$K · auto</t>
        </is>
      </c>
      <c r="C39" s="15">
        <f>SUM($C36:C36)</f>
        <v/>
      </c>
      <c r="D39" s="15">
        <f>SUM($C36:D36)</f>
        <v/>
      </c>
      <c r="E39" s="15">
        <f>SUM($C36:E36)</f>
        <v/>
      </c>
      <c r="F39" s="15">
        <f>SUM($C36:F36)</f>
        <v/>
      </c>
      <c r="G39" s="15">
        <f>SUM($C36:G36)</f>
        <v/>
      </c>
      <c r="H39" s="15">
        <f>SUM($C36:H36)</f>
        <v/>
      </c>
      <c r="I39" s="15">
        <f>SUM($C36:I36)</f>
        <v/>
      </c>
      <c r="J39" s="15">
        <f>SUM($C36:J36)</f>
        <v/>
      </c>
      <c r="K39" s="15">
        <f>SUM($C36:K36)</f>
        <v/>
      </c>
      <c r="L39" s="15">
        <f>SUM($C36:L36)</f>
        <v/>
      </c>
      <c r="M39" s="15">
        <f>SUM($C36:M36)</f>
        <v/>
      </c>
      <c r="N39" s="15">
        <f>SUM($C36:N36)</f>
        <v/>
      </c>
      <c r="O39" s="15">
        <f>SUM($C36:O36)</f>
        <v/>
      </c>
      <c r="P39" s="15">
        <f>SUM($C36:P36)</f>
        <v/>
      </c>
      <c r="Q39" s="15">
        <f>SUM($C36:Q36)</f>
        <v/>
      </c>
      <c r="R39" s="15">
        <f>SUM($C36:R36)</f>
        <v/>
      </c>
      <c r="S39" s="15">
        <f>SUM($C36:S36)</f>
        <v/>
      </c>
      <c r="T39" s="15">
        <f>SUM($C36:T36)</f>
        <v/>
      </c>
      <c r="U39" s="15">
        <f>SUM($C36:U36)</f>
        <v/>
      </c>
      <c r="V39" s="15">
        <f>SUM($C36:V36)</f>
        <v/>
      </c>
      <c r="W39" s="15">
        <f>SUM($C36:W36)</f>
        <v/>
      </c>
      <c r="X39" s="15">
        <f>SUM($C36:X36)</f>
        <v/>
      </c>
      <c r="Y39" s="15">
        <f>SUM($C36:Y36)</f>
        <v/>
      </c>
      <c r="Z39" s="15">
        <f>SUM($C36:Z36)</f>
        <v/>
      </c>
      <c r="AA39" s="15">
        <f>SUM($C36:AA36)</f>
        <v/>
      </c>
      <c r="AB39" s="15">
        <f>SUM($C36:AB36)</f>
        <v/>
      </c>
      <c r="AC39" s="15">
        <f>SUM($C36:AC36)</f>
        <v/>
      </c>
      <c r="AD39" s="15">
        <f>SUM($C36:AD36)</f>
        <v/>
      </c>
      <c r="AE39" s="15">
        <f>SUM($C36:AE36)</f>
        <v/>
      </c>
      <c r="AF39" s="15">
        <f>SUM($C36:AF36)</f>
        <v/>
      </c>
      <c r="AG39" s="15">
        <f>SUM($C36:AG36)</f>
        <v/>
      </c>
      <c r="AH39" s="15">
        <f>SUM($C36:AH36)</f>
        <v/>
      </c>
      <c r="AI39" s="15">
        <f>SUM($C36:AI36)</f>
        <v/>
      </c>
      <c r="AJ39" s="15">
        <f>SUM($C36:AJ36)</f>
        <v/>
      </c>
      <c r="AK39" s="15">
        <f>SUM($C36:AK36)</f>
        <v/>
      </c>
      <c r="AL39" s="15">
        <f>SUM($C36:AL36)</f>
        <v/>
      </c>
      <c r="AM39" s="15">
        <f>SUM($C36:AM36)</f>
        <v/>
      </c>
      <c r="AN39" s="15">
        <f>SUM($C36:AN36)</f>
        <v/>
      </c>
      <c r="AO39" s="15">
        <f>SUM($C36:AO36)</f>
        <v/>
      </c>
      <c r="AP39" s="15">
        <f>SUM($C36:AP36)</f>
        <v/>
      </c>
      <c r="AQ39" s="15">
        <f>SUM($C36:AQ36)</f>
        <v/>
      </c>
      <c r="AR39" s="15">
        <f>SUM($C36:AR36)</f>
        <v/>
      </c>
      <c r="AS39" s="15">
        <f>SUM($C36:AS36)</f>
        <v/>
      </c>
      <c r="AT39" s="15">
        <f>SUM($C36:AT36)</f>
        <v/>
      </c>
      <c r="AU39" s="15">
        <f>SUM($C36:AU36)</f>
        <v/>
      </c>
      <c r="AV39" s="15">
        <f>SUM($C36:AV36)</f>
        <v/>
      </c>
      <c r="AW39" s="15">
        <f>SUM($C36:AW36)</f>
        <v/>
      </c>
      <c r="AX39" s="15">
        <f>SUM($C36:AX36)</f>
        <v/>
      </c>
    </row>
    <row r="40">
      <c r="A40" s="11" t="inlineStr">
        <is>
          <t>E.  STATUS, ATTESTATION &amp; COMMENTARY</t>
        </is>
      </c>
      <c r="B40" s="16" t="inlineStr"/>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row>
    <row r="41">
      <c r="A41" t="inlineStr">
        <is>
          <t>Overall RAG status for month</t>
        </is>
      </c>
      <c r="B41" s="5" t="inlineStr">
        <is>
          <t>G/A/R · org input</t>
        </is>
      </c>
      <c r="C41" s="26" t="inlineStr">
        <is>
          <t>Green</t>
        </is>
      </c>
      <c r="D41" s="26" t="inlineStr">
        <is>
          <t>Green</t>
        </is>
      </c>
      <c r="E41" s="26" t="inlineStr">
        <is>
          <t>Amber</t>
        </is>
      </c>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c r="AK41" s="26" t="n"/>
      <c r="AL41" s="26" t="n"/>
      <c r="AM41" s="26" t="n"/>
      <c r="AN41" s="26" t="n"/>
      <c r="AO41" s="26" t="n"/>
      <c r="AP41" s="26" t="n"/>
      <c r="AQ41" s="26" t="n"/>
      <c r="AR41" s="26" t="n"/>
      <c r="AS41" s="26" t="n"/>
      <c r="AT41" s="26" t="n"/>
      <c r="AU41" s="26" t="n"/>
      <c r="AV41" s="26" t="n"/>
      <c r="AW41" s="26" t="n"/>
      <c r="AX41" s="26" t="n"/>
    </row>
    <row r="42">
      <c r="A42" t="inlineStr">
        <is>
          <t>Attest: reductions free of leakage?</t>
        </is>
      </c>
      <c r="B42" s="5" t="inlineStr">
        <is>
          <t>Y/N · org input</t>
        </is>
      </c>
      <c r="C42" s="26" t="inlineStr">
        <is>
          <t>Y</t>
        </is>
      </c>
      <c r="D42" s="26" t="inlineStr">
        <is>
          <t>Y</t>
        </is>
      </c>
      <c r="E42" s="26" t="inlineStr">
        <is>
          <t>Y</t>
        </is>
      </c>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c r="AD42" s="26" t="n"/>
      <c r="AE42" s="26" t="n"/>
      <c r="AF42" s="26" t="n"/>
      <c r="AG42" s="26" t="n"/>
      <c r="AH42" s="26" t="n"/>
      <c r="AI42" s="26" t="n"/>
      <c r="AJ42" s="26" t="n"/>
      <c r="AK42" s="26" t="n"/>
      <c r="AL42" s="26" t="n"/>
      <c r="AM42" s="26" t="n"/>
      <c r="AN42" s="26" t="n"/>
      <c r="AO42" s="26" t="n"/>
      <c r="AP42" s="26" t="n"/>
      <c r="AQ42" s="26" t="n"/>
      <c r="AR42" s="26" t="n"/>
      <c r="AS42" s="26" t="n"/>
      <c r="AT42" s="26" t="n"/>
      <c r="AU42" s="26" t="n"/>
      <c r="AV42" s="26" t="n"/>
      <c r="AW42" s="26" t="n"/>
      <c r="AX42" s="26" t="n"/>
    </row>
    <row r="43">
      <c r="A43" t="inlineStr">
        <is>
          <t>Attested by (org finance partner)</t>
        </is>
      </c>
      <c r="B43" s="5" t="inlineStr">
        <is>
          <t>name · org input</t>
        </is>
      </c>
      <c r="C43" s="26" t="inlineStr">
        <is>
          <t>A. Partner</t>
        </is>
      </c>
      <c r="D43" s="26" t="inlineStr">
        <is>
          <t>A. Partner</t>
        </is>
      </c>
      <c r="E43" s="26" t="inlineStr">
        <is>
          <t>A. Partner</t>
        </is>
      </c>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c r="AD43" s="26" t="n"/>
      <c r="AE43" s="26" t="n"/>
      <c r="AF43" s="26" t="n"/>
      <c r="AG43" s="26" t="n"/>
      <c r="AH43" s="26" t="n"/>
      <c r="AI43" s="26" t="n"/>
      <c r="AJ43" s="26" t="n"/>
      <c r="AK43" s="26" t="n"/>
      <c r="AL43" s="26" t="n"/>
      <c r="AM43" s="26" t="n"/>
      <c r="AN43" s="26" t="n"/>
      <c r="AO43" s="26" t="n"/>
      <c r="AP43" s="26" t="n"/>
      <c r="AQ43" s="26" t="n"/>
      <c r="AR43" s="26" t="n"/>
      <c r="AS43" s="26" t="n"/>
      <c r="AT43" s="26" t="n"/>
      <c r="AU43" s="26" t="n"/>
      <c r="AV43" s="26" t="n"/>
      <c r="AW43" s="26" t="n"/>
      <c r="AX43" s="26" t="n"/>
    </row>
    <row r="44">
      <c r="A44" t="inlineStr">
        <is>
          <t>Commentary (required on material variance)</t>
        </is>
      </c>
      <c r="B44" s="5" t="inlineStr">
        <is>
          <t>text · org input</t>
        </is>
      </c>
      <c r="C44" s="26" t="n"/>
      <c r="D44" s="26" t="n"/>
      <c r="E44" s="26" t="inlineStr">
        <is>
          <t>Prof services roll-off slipped ~1 month; recovery expected Apr.</t>
        </is>
      </c>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c r="AD44" s="26" t="n"/>
      <c r="AE44" s="26" t="n"/>
      <c r="AF44" s="26" t="n"/>
      <c r="AG44" s="26" t="n"/>
      <c r="AH44" s="26" t="n"/>
      <c r="AI44" s="26" t="n"/>
      <c r="AJ44" s="26" t="n"/>
      <c r="AK44" s="26" t="n"/>
      <c r="AL44" s="26" t="n"/>
      <c r="AM44" s="26" t="n"/>
      <c r="AN44" s="26" t="n"/>
      <c r="AO44" s="26" t="n"/>
      <c r="AP44" s="26" t="n"/>
      <c r="AQ44" s="26" t="n"/>
      <c r="AR44" s="26" t="n"/>
      <c r="AS44" s="26" t="n"/>
      <c r="AT44" s="26" t="n"/>
      <c r="AU44" s="26" t="n"/>
      <c r="AV44" s="26" t="n"/>
      <c r="AW44" s="26" t="n"/>
      <c r="AX44" s="26" t="n"/>
    </row>
  </sheetData>
  <dataValidations count="2">
    <dataValidation sqref="C41:AX41" showDropDown="0" showInputMessage="0" showErrorMessage="0" allowBlank="1" type="list">
      <formula1>=Setup!$B$14:$B$16</formula1>
    </dataValidation>
    <dataValidation sqref="C42:AX42" showDropDown="0" showInputMessage="0" showErrorMessage="0" allowBlank="1" type="list">
      <formula1>=Setup!$B$18:$B$19</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4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6" customWidth="1" min="1" max="1"/>
    <col width="20"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10.5" customWidth="1" min="35" max="35"/>
    <col width="10.5" customWidth="1" min="36" max="36"/>
    <col width="10.5" customWidth="1" min="37" max="37"/>
    <col width="10.5" customWidth="1" min="38" max="38"/>
    <col width="10.5" customWidth="1" min="39" max="39"/>
    <col width="10.5" customWidth="1" min="40" max="40"/>
    <col width="10.5" customWidth="1" min="41" max="41"/>
    <col width="10.5" customWidth="1" min="42" max="42"/>
    <col width="10.5" customWidth="1" min="43" max="43"/>
    <col width="10.5" customWidth="1" min="44" max="44"/>
    <col width="10.5" customWidth="1" min="45" max="45"/>
    <col width="10.5" customWidth="1" min="46" max="46"/>
    <col width="10.5" customWidth="1" min="47" max="47"/>
    <col width="10.5" customWidth="1" min="48" max="48"/>
    <col width="10.5" customWidth="1" min="49" max="49"/>
    <col width="10.5" customWidth="1" min="50" max="50"/>
  </cols>
  <sheetData>
    <row r="1">
      <c r="A1" s="4">
        <f>CONCATENATE("ORG: ",Setup!$B$5)</f>
        <v/>
      </c>
    </row>
    <row r="2">
      <c r="A2" s="5" t="inlineStr">
        <is>
          <t>Enter BLUE cells only. GREEN = central fill. GREY = linked target (do not edit). See READ ME + Guiding Principles tabs.</t>
        </is>
      </c>
    </row>
    <row r="4">
      <c r="C4" s="8" t="n">
        <v>2026</v>
      </c>
      <c r="O4" s="8" t="n">
        <v>2027</v>
      </c>
      <c r="AA4" s="8" t="n">
        <v>2028</v>
      </c>
      <c r="AM4" s="8" t="n">
        <v>2029</v>
      </c>
    </row>
    <row r="5">
      <c r="A5" s="9" t="inlineStr">
        <is>
          <t>Metric</t>
        </is>
      </c>
      <c r="B5" s="9" t="inlineStr">
        <is>
          <t>Unit / who fills</t>
        </is>
      </c>
      <c r="C5" s="10" t="n">
        <v>46023</v>
      </c>
      <c r="D5" s="10" t="n">
        <v>46054</v>
      </c>
      <c r="E5" s="10" t="n">
        <v>46082</v>
      </c>
      <c r="F5" s="10" t="n">
        <v>46113</v>
      </c>
      <c r="G5" s="10" t="n">
        <v>46143</v>
      </c>
      <c r="H5" s="10" t="n">
        <v>46174</v>
      </c>
      <c r="I5" s="10" t="n">
        <v>46204</v>
      </c>
      <c r="J5" s="10" t="n">
        <v>46235</v>
      </c>
      <c r="K5" s="10" t="n">
        <v>46266</v>
      </c>
      <c r="L5" s="10" t="n">
        <v>46296</v>
      </c>
      <c r="M5" s="10" t="n">
        <v>46327</v>
      </c>
      <c r="N5" s="10" t="n">
        <v>46357</v>
      </c>
      <c r="O5" s="10" t="n">
        <v>46388</v>
      </c>
      <c r="P5" s="10" t="n">
        <v>46419</v>
      </c>
      <c r="Q5" s="10" t="n">
        <v>46447</v>
      </c>
      <c r="R5" s="10" t="n">
        <v>46478</v>
      </c>
      <c r="S5" s="10" t="n">
        <v>46508</v>
      </c>
      <c r="T5" s="10" t="n">
        <v>46539</v>
      </c>
      <c r="U5" s="10" t="n">
        <v>46569</v>
      </c>
      <c r="V5" s="10" t="n">
        <v>46600</v>
      </c>
      <c r="W5" s="10" t="n">
        <v>46631</v>
      </c>
      <c r="X5" s="10" t="n">
        <v>46661</v>
      </c>
      <c r="Y5" s="10" t="n">
        <v>46692</v>
      </c>
      <c r="Z5" s="10" t="n">
        <v>46722</v>
      </c>
      <c r="AA5" s="10" t="n">
        <v>46753</v>
      </c>
      <c r="AB5" s="10" t="n">
        <v>46784</v>
      </c>
      <c r="AC5" s="10" t="n">
        <v>46813</v>
      </c>
      <c r="AD5" s="10" t="n">
        <v>46844</v>
      </c>
      <c r="AE5" s="10" t="n">
        <v>46874</v>
      </c>
      <c r="AF5" s="10" t="n">
        <v>46905</v>
      </c>
      <c r="AG5" s="10" t="n">
        <v>46935</v>
      </c>
      <c r="AH5" s="10" t="n">
        <v>46966</v>
      </c>
      <c r="AI5" s="10" t="n">
        <v>46997</v>
      </c>
      <c r="AJ5" s="10" t="n">
        <v>47027</v>
      </c>
      <c r="AK5" s="10" t="n">
        <v>47058</v>
      </c>
      <c r="AL5" s="10" t="n">
        <v>47088</v>
      </c>
      <c r="AM5" s="10" t="n">
        <v>47119</v>
      </c>
      <c r="AN5" s="10" t="n">
        <v>47150</v>
      </c>
      <c r="AO5" s="10" t="n">
        <v>47178</v>
      </c>
      <c r="AP5" s="10" t="n">
        <v>47209</v>
      </c>
      <c r="AQ5" s="10" t="n">
        <v>47239</v>
      </c>
      <c r="AR5" s="10" t="n">
        <v>47270</v>
      </c>
      <c r="AS5" s="10" t="n">
        <v>47300</v>
      </c>
      <c r="AT5" s="10" t="n">
        <v>47331</v>
      </c>
      <c r="AU5" s="10" t="n">
        <v>47362</v>
      </c>
      <c r="AV5" s="10" t="n">
        <v>47392</v>
      </c>
      <c r="AW5" s="10" t="n">
        <v>47423</v>
      </c>
      <c r="AX5" s="10" t="n">
        <v>47453</v>
      </c>
    </row>
    <row r="6">
      <c r="A6" s="11" t="inlineStr">
        <is>
          <t>A.  INDIA HIRING</t>
        </is>
      </c>
      <c r="B6" s="16" t="inlineStr"/>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row>
    <row r="7">
      <c r="A7" t="inlineStr">
        <is>
          <t>India hires — Target</t>
        </is>
      </c>
      <c r="B7" s="5" t="inlineStr">
        <is>
          <t>heads · linked</t>
        </is>
      </c>
      <c r="C7" s="17">
        <f>Targets!C17</f>
        <v/>
      </c>
      <c r="D7" s="17">
        <f>Targets!D17</f>
        <v/>
      </c>
      <c r="E7" s="17">
        <f>Targets!E17</f>
        <v/>
      </c>
      <c r="F7" s="17">
        <f>Targets!F17</f>
        <v/>
      </c>
      <c r="G7" s="17">
        <f>Targets!G17</f>
        <v/>
      </c>
      <c r="H7" s="17">
        <f>Targets!H17</f>
        <v/>
      </c>
      <c r="I7" s="17">
        <f>Targets!I17</f>
        <v/>
      </c>
      <c r="J7" s="17">
        <f>Targets!J17</f>
        <v/>
      </c>
      <c r="K7" s="17">
        <f>Targets!K17</f>
        <v/>
      </c>
      <c r="L7" s="17">
        <f>Targets!L17</f>
        <v/>
      </c>
      <c r="M7" s="17">
        <f>Targets!M17</f>
        <v/>
      </c>
      <c r="N7" s="17">
        <f>Targets!N17</f>
        <v/>
      </c>
      <c r="O7" s="17">
        <f>Targets!O17</f>
        <v/>
      </c>
      <c r="P7" s="17">
        <f>Targets!P17</f>
        <v/>
      </c>
      <c r="Q7" s="17">
        <f>Targets!Q17</f>
        <v/>
      </c>
      <c r="R7" s="17">
        <f>Targets!R17</f>
        <v/>
      </c>
      <c r="S7" s="17">
        <f>Targets!S17</f>
        <v/>
      </c>
      <c r="T7" s="17">
        <f>Targets!T17</f>
        <v/>
      </c>
      <c r="U7" s="17">
        <f>Targets!U17</f>
        <v/>
      </c>
      <c r="V7" s="17">
        <f>Targets!V17</f>
        <v/>
      </c>
      <c r="W7" s="17">
        <f>Targets!W17</f>
        <v/>
      </c>
      <c r="X7" s="17">
        <f>Targets!X17</f>
        <v/>
      </c>
      <c r="Y7" s="17">
        <f>Targets!Y17</f>
        <v/>
      </c>
      <c r="Z7" s="17">
        <f>Targets!Z17</f>
        <v/>
      </c>
      <c r="AA7" s="17">
        <f>Targets!AA17</f>
        <v/>
      </c>
      <c r="AB7" s="17">
        <f>Targets!AB17</f>
        <v/>
      </c>
      <c r="AC7" s="17">
        <f>Targets!AC17</f>
        <v/>
      </c>
      <c r="AD7" s="17">
        <f>Targets!AD17</f>
        <v/>
      </c>
      <c r="AE7" s="17">
        <f>Targets!AE17</f>
        <v/>
      </c>
      <c r="AF7" s="17">
        <f>Targets!AF17</f>
        <v/>
      </c>
      <c r="AG7" s="17">
        <f>Targets!AG17</f>
        <v/>
      </c>
      <c r="AH7" s="17">
        <f>Targets!AH17</f>
        <v/>
      </c>
      <c r="AI7" s="17">
        <f>Targets!AI17</f>
        <v/>
      </c>
      <c r="AJ7" s="17">
        <f>Targets!AJ17</f>
        <v/>
      </c>
      <c r="AK7" s="17">
        <f>Targets!AK17</f>
        <v/>
      </c>
      <c r="AL7" s="17">
        <f>Targets!AL17</f>
        <v/>
      </c>
      <c r="AM7" s="17">
        <f>Targets!AM17</f>
        <v/>
      </c>
      <c r="AN7" s="17">
        <f>Targets!AN17</f>
        <v/>
      </c>
      <c r="AO7" s="17">
        <f>Targets!AO17</f>
        <v/>
      </c>
      <c r="AP7" s="17">
        <f>Targets!AP17</f>
        <v/>
      </c>
      <c r="AQ7" s="17">
        <f>Targets!AQ17</f>
        <v/>
      </c>
      <c r="AR7" s="17">
        <f>Targets!AR17</f>
        <v/>
      </c>
      <c r="AS7" s="17">
        <f>Targets!AS17</f>
        <v/>
      </c>
      <c r="AT7" s="17">
        <f>Targets!AT17</f>
        <v/>
      </c>
      <c r="AU7" s="17">
        <f>Targets!AU17</f>
        <v/>
      </c>
      <c r="AV7" s="17">
        <f>Targets!AV17</f>
        <v/>
      </c>
      <c r="AW7" s="17">
        <f>Targets!AW17</f>
        <v/>
      </c>
      <c r="AX7" s="17">
        <f>Targets!AX17</f>
        <v/>
      </c>
    </row>
    <row r="8">
      <c r="A8" t="inlineStr">
        <is>
          <t>India hires — Actual</t>
        </is>
      </c>
      <c r="B8" s="5" t="inlineStr">
        <is>
          <t>heads · central (PlanIt)</t>
        </is>
      </c>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row>
    <row r="9">
      <c r="A9" t="inlineStr">
        <is>
          <t>Cumulative hires — Target</t>
        </is>
      </c>
      <c r="B9" s="5" t="inlineStr">
        <is>
          <t>heads · auto</t>
        </is>
      </c>
      <c r="C9" s="19">
        <f>SUM($C7:C7)</f>
        <v/>
      </c>
      <c r="D9" s="19">
        <f>SUM($C7:D7)</f>
        <v/>
      </c>
      <c r="E9" s="19">
        <f>SUM($C7:E7)</f>
        <v/>
      </c>
      <c r="F9" s="19">
        <f>SUM($C7:F7)</f>
        <v/>
      </c>
      <c r="G9" s="19">
        <f>SUM($C7:G7)</f>
        <v/>
      </c>
      <c r="H9" s="19">
        <f>SUM($C7:H7)</f>
        <v/>
      </c>
      <c r="I9" s="19">
        <f>SUM($C7:I7)</f>
        <v/>
      </c>
      <c r="J9" s="19">
        <f>SUM($C7:J7)</f>
        <v/>
      </c>
      <c r="K9" s="19">
        <f>SUM($C7:K7)</f>
        <v/>
      </c>
      <c r="L9" s="19">
        <f>SUM($C7:L7)</f>
        <v/>
      </c>
      <c r="M9" s="19">
        <f>SUM($C7:M7)</f>
        <v/>
      </c>
      <c r="N9" s="19">
        <f>SUM($C7:N7)</f>
        <v/>
      </c>
      <c r="O9" s="19">
        <f>SUM($C7:O7)</f>
        <v/>
      </c>
      <c r="P9" s="19">
        <f>SUM($C7:P7)</f>
        <v/>
      </c>
      <c r="Q9" s="19">
        <f>SUM($C7:Q7)</f>
        <v/>
      </c>
      <c r="R9" s="19">
        <f>SUM($C7:R7)</f>
        <v/>
      </c>
      <c r="S9" s="19">
        <f>SUM($C7:S7)</f>
        <v/>
      </c>
      <c r="T9" s="19">
        <f>SUM($C7:T7)</f>
        <v/>
      </c>
      <c r="U9" s="19">
        <f>SUM($C7:U7)</f>
        <v/>
      </c>
      <c r="V9" s="19">
        <f>SUM($C7:V7)</f>
        <v/>
      </c>
      <c r="W9" s="19">
        <f>SUM($C7:W7)</f>
        <v/>
      </c>
      <c r="X9" s="19">
        <f>SUM($C7:X7)</f>
        <v/>
      </c>
      <c r="Y9" s="19">
        <f>SUM($C7:Y7)</f>
        <v/>
      </c>
      <c r="Z9" s="19">
        <f>SUM($C7:Z7)</f>
        <v/>
      </c>
      <c r="AA9" s="19">
        <f>SUM($C7:AA7)</f>
        <v/>
      </c>
      <c r="AB9" s="19">
        <f>SUM($C7:AB7)</f>
        <v/>
      </c>
      <c r="AC9" s="19">
        <f>SUM($C7:AC7)</f>
        <v/>
      </c>
      <c r="AD9" s="19">
        <f>SUM($C7:AD7)</f>
        <v/>
      </c>
      <c r="AE9" s="19">
        <f>SUM($C7:AE7)</f>
        <v/>
      </c>
      <c r="AF9" s="19">
        <f>SUM($C7:AF7)</f>
        <v/>
      </c>
      <c r="AG9" s="19">
        <f>SUM($C7:AG7)</f>
        <v/>
      </c>
      <c r="AH9" s="19">
        <f>SUM($C7:AH7)</f>
        <v/>
      </c>
      <c r="AI9" s="19">
        <f>SUM($C7:AI7)</f>
        <v/>
      </c>
      <c r="AJ9" s="19">
        <f>SUM($C7:AJ7)</f>
        <v/>
      </c>
      <c r="AK9" s="19">
        <f>SUM($C7:AK7)</f>
        <v/>
      </c>
      <c r="AL9" s="19">
        <f>SUM($C7:AL7)</f>
        <v/>
      </c>
      <c r="AM9" s="19">
        <f>SUM($C7:AM7)</f>
        <v/>
      </c>
      <c r="AN9" s="19">
        <f>SUM($C7:AN7)</f>
        <v/>
      </c>
      <c r="AO9" s="19">
        <f>SUM($C7:AO7)</f>
        <v/>
      </c>
      <c r="AP9" s="19">
        <f>SUM($C7:AP7)</f>
        <v/>
      </c>
      <c r="AQ9" s="19">
        <f>SUM($C7:AQ7)</f>
        <v/>
      </c>
      <c r="AR9" s="19">
        <f>SUM($C7:AR7)</f>
        <v/>
      </c>
      <c r="AS9" s="19">
        <f>SUM($C7:AS7)</f>
        <v/>
      </c>
      <c r="AT9" s="19">
        <f>SUM($C7:AT7)</f>
        <v/>
      </c>
      <c r="AU9" s="19">
        <f>SUM($C7:AU7)</f>
        <v/>
      </c>
      <c r="AV9" s="19">
        <f>SUM($C7:AV7)</f>
        <v/>
      </c>
      <c r="AW9" s="19">
        <f>SUM($C7:AW7)</f>
        <v/>
      </c>
      <c r="AX9" s="19">
        <f>SUM($C7:AX7)</f>
        <v/>
      </c>
    </row>
    <row r="10">
      <c r="A10" t="inlineStr">
        <is>
          <t>Cumulative hires — Actual</t>
        </is>
      </c>
      <c r="B10" s="5" t="inlineStr">
        <is>
          <t>heads · auto</t>
        </is>
      </c>
      <c r="C10" s="19">
        <f>SUM($C8:C8)</f>
        <v/>
      </c>
      <c r="D10" s="19">
        <f>SUM($C8:D8)</f>
        <v/>
      </c>
      <c r="E10" s="19">
        <f>SUM($C8:E8)</f>
        <v/>
      </c>
      <c r="F10" s="19">
        <f>SUM($C8:F8)</f>
        <v/>
      </c>
      <c r="G10" s="19">
        <f>SUM($C8:G8)</f>
        <v/>
      </c>
      <c r="H10" s="19">
        <f>SUM($C8:H8)</f>
        <v/>
      </c>
      <c r="I10" s="19">
        <f>SUM($C8:I8)</f>
        <v/>
      </c>
      <c r="J10" s="19">
        <f>SUM($C8:J8)</f>
        <v/>
      </c>
      <c r="K10" s="19">
        <f>SUM($C8:K8)</f>
        <v/>
      </c>
      <c r="L10" s="19">
        <f>SUM($C8:L8)</f>
        <v/>
      </c>
      <c r="M10" s="19">
        <f>SUM($C8:M8)</f>
        <v/>
      </c>
      <c r="N10" s="19">
        <f>SUM($C8:N8)</f>
        <v/>
      </c>
      <c r="O10" s="19">
        <f>SUM($C8:O8)</f>
        <v/>
      </c>
      <c r="P10" s="19">
        <f>SUM($C8:P8)</f>
        <v/>
      </c>
      <c r="Q10" s="19">
        <f>SUM($C8:Q8)</f>
        <v/>
      </c>
      <c r="R10" s="19">
        <f>SUM($C8:R8)</f>
        <v/>
      </c>
      <c r="S10" s="19">
        <f>SUM($C8:S8)</f>
        <v/>
      </c>
      <c r="T10" s="19">
        <f>SUM($C8:T8)</f>
        <v/>
      </c>
      <c r="U10" s="19">
        <f>SUM($C8:U8)</f>
        <v/>
      </c>
      <c r="V10" s="19">
        <f>SUM($C8:V8)</f>
        <v/>
      </c>
      <c r="W10" s="19">
        <f>SUM($C8:W8)</f>
        <v/>
      </c>
      <c r="X10" s="19">
        <f>SUM($C8:X8)</f>
        <v/>
      </c>
      <c r="Y10" s="19">
        <f>SUM($C8:Y8)</f>
        <v/>
      </c>
      <c r="Z10" s="19">
        <f>SUM($C8:Z8)</f>
        <v/>
      </c>
      <c r="AA10" s="19">
        <f>SUM($C8:AA8)</f>
        <v/>
      </c>
      <c r="AB10" s="19">
        <f>SUM($C8:AB8)</f>
        <v/>
      </c>
      <c r="AC10" s="19">
        <f>SUM($C8:AC8)</f>
        <v/>
      </c>
      <c r="AD10" s="19">
        <f>SUM($C8:AD8)</f>
        <v/>
      </c>
      <c r="AE10" s="19">
        <f>SUM($C8:AE8)</f>
        <v/>
      </c>
      <c r="AF10" s="19">
        <f>SUM($C8:AF8)</f>
        <v/>
      </c>
      <c r="AG10" s="19">
        <f>SUM($C8:AG8)</f>
        <v/>
      </c>
      <c r="AH10" s="19">
        <f>SUM($C8:AH8)</f>
        <v/>
      </c>
      <c r="AI10" s="19">
        <f>SUM($C8:AI8)</f>
        <v/>
      </c>
      <c r="AJ10" s="19">
        <f>SUM($C8:AJ8)</f>
        <v/>
      </c>
      <c r="AK10" s="19">
        <f>SUM($C8:AK8)</f>
        <v/>
      </c>
      <c r="AL10" s="19">
        <f>SUM($C8:AL8)</f>
        <v/>
      </c>
      <c r="AM10" s="19">
        <f>SUM($C8:AM8)</f>
        <v/>
      </c>
      <c r="AN10" s="19">
        <f>SUM($C8:AN8)</f>
        <v/>
      </c>
      <c r="AO10" s="19">
        <f>SUM($C8:AO8)</f>
        <v/>
      </c>
      <c r="AP10" s="19">
        <f>SUM($C8:AP8)</f>
        <v/>
      </c>
      <c r="AQ10" s="19">
        <f>SUM($C8:AQ8)</f>
        <v/>
      </c>
      <c r="AR10" s="19">
        <f>SUM($C8:AR8)</f>
        <v/>
      </c>
      <c r="AS10" s="19">
        <f>SUM($C8:AS8)</f>
        <v/>
      </c>
      <c r="AT10" s="19">
        <f>SUM($C8:AT8)</f>
        <v/>
      </c>
      <c r="AU10" s="19">
        <f>SUM($C8:AU8)</f>
        <v/>
      </c>
      <c r="AV10" s="19">
        <f>SUM($C8:AV8)</f>
        <v/>
      </c>
      <c r="AW10" s="19">
        <f>SUM($C8:AW8)</f>
        <v/>
      </c>
      <c r="AX10" s="19">
        <f>SUM($C8:AX8)</f>
        <v/>
      </c>
    </row>
    <row r="11">
      <c r="A11" t="inlineStr">
        <is>
          <t>Hires variance (Actual − Target), cumulative</t>
        </is>
      </c>
      <c r="B11" s="5" t="inlineStr">
        <is>
          <t>heads · auto</t>
        </is>
      </c>
      <c r="C11" s="19">
        <f>C10-C9</f>
        <v/>
      </c>
      <c r="D11" s="19">
        <f>D10-D9</f>
        <v/>
      </c>
      <c r="E11" s="19">
        <f>E10-E9</f>
        <v/>
      </c>
      <c r="F11" s="19">
        <f>F10-F9</f>
        <v/>
      </c>
      <c r="G11" s="19">
        <f>G10-G9</f>
        <v/>
      </c>
      <c r="H11" s="19">
        <f>H10-H9</f>
        <v/>
      </c>
      <c r="I11" s="19">
        <f>I10-I9</f>
        <v/>
      </c>
      <c r="J11" s="19">
        <f>J10-J9</f>
        <v/>
      </c>
      <c r="K11" s="19">
        <f>K10-K9</f>
        <v/>
      </c>
      <c r="L11" s="19">
        <f>L10-L9</f>
        <v/>
      </c>
      <c r="M11" s="19">
        <f>M10-M9</f>
        <v/>
      </c>
      <c r="N11" s="19">
        <f>N10-N9</f>
        <v/>
      </c>
      <c r="O11" s="19">
        <f>O10-O9</f>
        <v/>
      </c>
      <c r="P11" s="19">
        <f>P10-P9</f>
        <v/>
      </c>
      <c r="Q11" s="19">
        <f>Q10-Q9</f>
        <v/>
      </c>
      <c r="R11" s="19">
        <f>R10-R9</f>
        <v/>
      </c>
      <c r="S11" s="19">
        <f>S10-S9</f>
        <v/>
      </c>
      <c r="T11" s="19">
        <f>T10-T9</f>
        <v/>
      </c>
      <c r="U11" s="19">
        <f>U10-U9</f>
        <v/>
      </c>
      <c r="V11" s="19">
        <f>V10-V9</f>
        <v/>
      </c>
      <c r="W11" s="19">
        <f>W10-W9</f>
        <v/>
      </c>
      <c r="X11" s="19">
        <f>X10-X9</f>
        <v/>
      </c>
      <c r="Y11" s="19">
        <f>Y10-Y9</f>
        <v/>
      </c>
      <c r="Z11" s="19">
        <f>Z10-Z9</f>
        <v/>
      </c>
      <c r="AA11" s="19">
        <f>AA10-AA9</f>
        <v/>
      </c>
      <c r="AB11" s="19">
        <f>AB10-AB9</f>
        <v/>
      </c>
      <c r="AC11" s="19">
        <f>AC10-AC9</f>
        <v/>
      </c>
      <c r="AD11" s="19">
        <f>AD10-AD9</f>
        <v/>
      </c>
      <c r="AE11" s="19">
        <f>AE10-AE9</f>
        <v/>
      </c>
      <c r="AF11" s="19">
        <f>AF10-AF9</f>
        <v/>
      </c>
      <c r="AG11" s="19">
        <f>AG10-AG9</f>
        <v/>
      </c>
      <c r="AH11" s="19">
        <f>AH10-AH9</f>
        <v/>
      </c>
      <c r="AI11" s="19">
        <f>AI10-AI9</f>
        <v/>
      </c>
      <c r="AJ11" s="19">
        <f>AJ10-AJ9</f>
        <v/>
      </c>
      <c r="AK11" s="19">
        <f>AK10-AK9</f>
        <v/>
      </c>
      <c r="AL11" s="19">
        <f>AL10-AL9</f>
        <v/>
      </c>
      <c r="AM11" s="19">
        <f>AM10-AM9</f>
        <v/>
      </c>
      <c r="AN11" s="19">
        <f>AN10-AN9</f>
        <v/>
      </c>
      <c r="AO11" s="19">
        <f>AO10-AO9</f>
        <v/>
      </c>
      <c r="AP11" s="19">
        <f>AP10-AP9</f>
        <v/>
      </c>
      <c r="AQ11" s="19">
        <f>AQ10-AQ9</f>
        <v/>
      </c>
      <c r="AR11" s="19">
        <f>AR10-AR9</f>
        <v/>
      </c>
      <c r="AS11" s="19">
        <f>AS10-AS9</f>
        <v/>
      </c>
      <c r="AT11" s="19">
        <f>AT10-AT9</f>
        <v/>
      </c>
      <c r="AU11" s="19">
        <f>AU10-AU9</f>
        <v/>
      </c>
      <c r="AV11" s="19">
        <f>AV10-AV9</f>
        <v/>
      </c>
      <c r="AW11" s="19">
        <f>AW10-AW9</f>
        <v/>
      </c>
      <c r="AX11" s="19">
        <f>AX10-AX9</f>
        <v/>
      </c>
    </row>
    <row r="12">
      <c r="A12" t="inlineStr">
        <is>
          <t>Avg India loaded comp — Plan</t>
        </is>
      </c>
      <c r="B12" s="5" t="inlineStr">
        <is>
          <t>$K/yr · central (PlanIt)</t>
        </is>
      </c>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20" t="n"/>
      <c r="AD12" s="20" t="n"/>
      <c r="AE12" s="20" t="n"/>
      <c r="AF12" s="20" t="n"/>
      <c r="AG12" s="20" t="n"/>
      <c r="AH12" s="20" t="n"/>
      <c r="AI12" s="20" t="n"/>
      <c r="AJ12" s="20" t="n"/>
      <c r="AK12" s="20" t="n"/>
      <c r="AL12" s="20" t="n"/>
      <c r="AM12" s="20" t="n"/>
      <c r="AN12" s="20" t="n"/>
      <c r="AO12" s="20" t="n"/>
      <c r="AP12" s="20" t="n"/>
      <c r="AQ12" s="20" t="n"/>
      <c r="AR12" s="20" t="n"/>
      <c r="AS12" s="20" t="n"/>
      <c r="AT12" s="20" t="n"/>
      <c r="AU12" s="20" t="n"/>
      <c r="AV12" s="20" t="n"/>
      <c r="AW12" s="20" t="n"/>
      <c r="AX12" s="20" t="n"/>
    </row>
    <row r="13">
      <c r="A13" t="inlineStr">
        <is>
          <t>Avg India loaded comp — Actual</t>
        </is>
      </c>
      <c r="B13" s="5" t="inlineStr">
        <is>
          <t>$K/yr · central (PlanIt)</t>
        </is>
      </c>
      <c r="C13" s="20"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c r="AA13" s="20" t="n"/>
      <c r="AB13" s="20" t="n"/>
      <c r="AC13" s="20" t="n"/>
      <c r="AD13" s="20" t="n"/>
      <c r="AE13" s="20" t="n"/>
      <c r="AF13" s="20" t="n"/>
      <c r="AG13" s="20" t="n"/>
      <c r="AH13" s="20" t="n"/>
      <c r="AI13" s="20" t="n"/>
      <c r="AJ13" s="20" t="n"/>
      <c r="AK13" s="20" t="n"/>
      <c r="AL13" s="20" t="n"/>
      <c r="AM13" s="20" t="n"/>
      <c r="AN13" s="20" t="n"/>
      <c r="AO13" s="20" t="n"/>
      <c r="AP13" s="20" t="n"/>
      <c r="AQ13" s="20" t="n"/>
      <c r="AR13" s="20" t="n"/>
      <c r="AS13" s="20" t="n"/>
      <c r="AT13" s="20" t="n"/>
      <c r="AU13" s="20" t="n"/>
      <c r="AV13" s="20" t="n"/>
      <c r="AW13" s="20" t="n"/>
      <c r="AX13" s="20" t="n"/>
    </row>
    <row r="14">
      <c r="A14" t="inlineStr">
        <is>
          <t>India attrition in month</t>
        </is>
      </c>
      <c r="B14" s="5" t="inlineStr">
        <is>
          <t>heads · central (HR)</t>
        </is>
      </c>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c r="AA14" s="18" t="n"/>
      <c r="AB14" s="18" t="n"/>
      <c r="AC14" s="18" t="n"/>
      <c r="AD14" s="18" t="n"/>
      <c r="AE14" s="18" t="n"/>
      <c r="AF14" s="18" t="n"/>
      <c r="AG14" s="18" t="n"/>
      <c r="AH14" s="18" t="n"/>
      <c r="AI14" s="18" t="n"/>
      <c r="AJ14" s="18" t="n"/>
      <c r="AK14" s="18" t="n"/>
      <c r="AL14" s="18" t="n"/>
      <c r="AM14" s="18" t="n"/>
      <c r="AN14" s="18" t="n"/>
      <c r="AO14" s="18" t="n"/>
      <c r="AP14" s="18" t="n"/>
      <c r="AQ14" s="18" t="n"/>
      <c r="AR14" s="18" t="n"/>
      <c r="AS14" s="18" t="n"/>
      <c r="AT14" s="18" t="n"/>
      <c r="AU14" s="18" t="n"/>
      <c r="AV14" s="18" t="n"/>
      <c r="AW14" s="18" t="n"/>
      <c r="AX14" s="18" t="n"/>
    </row>
    <row r="15">
      <c r="A15" t="inlineStr">
        <is>
          <t>% of India hires fully productive</t>
        </is>
      </c>
      <c r="B15" s="5" t="inlineStr">
        <is>
          <t>% · org input</t>
        </is>
      </c>
      <c r="C15" s="21" t="n"/>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c r="AA15" s="21" t="n"/>
      <c r="AB15" s="21" t="n"/>
      <c r="AC15" s="21" t="n"/>
      <c r="AD15" s="21" t="n"/>
      <c r="AE15" s="21" t="n"/>
      <c r="AF15" s="21" t="n"/>
      <c r="AG15" s="21" t="n"/>
      <c r="AH15" s="21" t="n"/>
      <c r="AI15" s="21" t="n"/>
      <c r="AJ15" s="21" t="n"/>
      <c r="AK15" s="21" t="n"/>
      <c r="AL15" s="21" t="n"/>
      <c r="AM15" s="21" t="n"/>
      <c r="AN15" s="21" t="n"/>
      <c r="AO15" s="21" t="n"/>
      <c r="AP15" s="21" t="n"/>
      <c r="AQ15" s="21" t="n"/>
      <c r="AR15" s="21" t="n"/>
      <c r="AS15" s="21" t="n"/>
      <c r="AT15" s="21" t="n"/>
      <c r="AU15" s="21" t="n"/>
      <c r="AV15" s="21" t="n"/>
      <c r="AW15" s="21" t="n"/>
      <c r="AX15" s="21" t="n"/>
    </row>
    <row r="16">
      <c r="A16" s="11" t="inlineStr">
        <is>
          <t>B.  GROSS REDUCTIONS REALIZED IN PERIOD</t>
        </is>
      </c>
      <c r="B16" s="16" t="inlineStr"/>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row>
    <row r="17">
      <c r="A17" t="inlineStr">
        <is>
          <t>Professional services — Target</t>
        </is>
      </c>
      <c r="B17" s="5" t="inlineStr">
        <is>
          <t>$K · linked</t>
        </is>
      </c>
      <c r="C17" s="22">
        <f>Targets!C18</f>
        <v/>
      </c>
      <c r="D17" s="22">
        <f>Targets!D18</f>
        <v/>
      </c>
      <c r="E17" s="22">
        <f>Targets!E18</f>
        <v/>
      </c>
      <c r="F17" s="22">
        <f>Targets!F18</f>
        <v/>
      </c>
      <c r="G17" s="22">
        <f>Targets!G18</f>
        <v/>
      </c>
      <c r="H17" s="22">
        <f>Targets!H18</f>
        <v/>
      </c>
      <c r="I17" s="22">
        <f>Targets!I18</f>
        <v/>
      </c>
      <c r="J17" s="22">
        <f>Targets!J18</f>
        <v/>
      </c>
      <c r="K17" s="22">
        <f>Targets!K18</f>
        <v/>
      </c>
      <c r="L17" s="22">
        <f>Targets!L18</f>
        <v/>
      </c>
      <c r="M17" s="22">
        <f>Targets!M18</f>
        <v/>
      </c>
      <c r="N17" s="22">
        <f>Targets!N18</f>
        <v/>
      </c>
      <c r="O17" s="22">
        <f>Targets!O18</f>
        <v/>
      </c>
      <c r="P17" s="22">
        <f>Targets!P18</f>
        <v/>
      </c>
      <c r="Q17" s="22">
        <f>Targets!Q18</f>
        <v/>
      </c>
      <c r="R17" s="22">
        <f>Targets!R18</f>
        <v/>
      </c>
      <c r="S17" s="22">
        <f>Targets!S18</f>
        <v/>
      </c>
      <c r="T17" s="22">
        <f>Targets!T18</f>
        <v/>
      </c>
      <c r="U17" s="22">
        <f>Targets!U18</f>
        <v/>
      </c>
      <c r="V17" s="22">
        <f>Targets!V18</f>
        <v/>
      </c>
      <c r="W17" s="22">
        <f>Targets!W18</f>
        <v/>
      </c>
      <c r="X17" s="22">
        <f>Targets!X18</f>
        <v/>
      </c>
      <c r="Y17" s="22">
        <f>Targets!Y18</f>
        <v/>
      </c>
      <c r="Z17" s="22">
        <f>Targets!Z18</f>
        <v/>
      </c>
      <c r="AA17" s="22">
        <f>Targets!AA18</f>
        <v/>
      </c>
      <c r="AB17" s="22">
        <f>Targets!AB18</f>
        <v/>
      </c>
      <c r="AC17" s="22">
        <f>Targets!AC18</f>
        <v/>
      </c>
      <c r="AD17" s="22">
        <f>Targets!AD18</f>
        <v/>
      </c>
      <c r="AE17" s="22">
        <f>Targets!AE18</f>
        <v/>
      </c>
      <c r="AF17" s="22">
        <f>Targets!AF18</f>
        <v/>
      </c>
      <c r="AG17" s="22">
        <f>Targets!AG18</f>
        <v/>
      </c>
      <c r="AH17" s="22">
        <f>Targets!AH18</f>
        <v/>
      </c>
      <c r="AI17" s="22">
        <f>Targets!AI18</f>
        <v/>
      </c>
      <c r="AJ17" s="22">
        <f>Targets!AJ18</f>
        <v/>
      </c>
      <c r="AK17" s="22">
        <f>Targets!AK18</f>
        <v/>
      </c>
      <c r="AL17" s="22">
        <f>Targets!AL18</f>
        <v/>
      </c>
      <c r="AM17" s="22">
        <f>Targets!AM18</f>
        <v/>
      </c>
      <c r="AN17" s="22">
        <f>Targets!AN18</f>
        <v/>
      </c>
      <c r="AO17" s="22">
        <f>Targets!AO18</f>
        <v/>
      </c>
      <c r="AP17" s="22">
        <f>Targets!AP18</f>
        <v/>
      </c>
      <c r="AQ17" s="22">
        <f>Targets!AQ18</f>
        <v/>
      </c>
      <c r="AR17" s="22">
        <f>Targets!AR18</f>
        <v/>
      </c>
      <c r="AS17" s="22">
        <f>Targets!AS18</f>
        <v/>
      </c>
      <c r="AT17" s="22">
        <f>Targets!AT18</f>
        <v/>
      </c>
      <c r="AU17" s="22">
        <f>Targets!AU18</f>
        <v/>
      </c>
      <c r="AV17" s="22">
        <f>Targets!AV18</f>
        <v/>
      </c>
      <c r="AW17" s="22">
        <f>Targets!AW18</f>
        <v/>
      </c>
      <c r="AX17" s="22">
        <f>Targets!AX18</f>
        <v/>
      </c>
    </row>
    <row r="18">
      <c r="A18" t="inlineStr">
        <is>
          <t>Professional services — Actual</t>
        </is>
      </c>
      <c r="B18" s="5" t="inlineStr">
        <is>
          <t>$K · org input</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row>
    <row r="19">
      <c r="A19" t="inlineStr">
        <is>
          <t>Offshore contractors — Target</t>
        </is>
      </c>
      <c r="B19" s="5" t="inlineStr">
        <is>
          <t>$K · linked</t>
        </is>
      </c>
      <c r="C19" s="22">
        <f>Targets!C19</f>
        <v/>
      </c>
      <c r="D19" s="22">
        <f>Targets!D19</f>
        <v/>
      </c>
      <c r="E19" s="22">
        <f>Targets!E19</f>
        <v/>
      </c>
      <c r="F19" s="22">
        <f>Targets!F19</f>
        <v/>
      </c>
      <c r="G19" s="22">
        <f>Targets!G19</f>
        <v/>
      </c>
      <c r="H19" s="22">
        <f>Targets!H19</f>
        <v/>
      </c>
      <c r="I19" s="22">
        <f>Targets!I19</f>
        <v/>
      </c>
      <c r="J19" s="22">
        <f>Targets!J19</f>
        <v/>
      </c>
      <c r="K19" s="22">
        <f>Targets!K19</f>
        <v/>
      </c>
      <c r="L19" s="22">
        <f>Targets!L19</f>
        <v/>
      </c>
      <c r="M19" s="22">
        <f>Targets!M19</f>
        <v/>
      </c>
      <c r="N19" s="22">
        <f>Targets!N19</f>
        <v/>
      </c>
      <c r="O19" s="22">
        <f>Targets!O19</f>
        <v/>
      </c>
      <c r="P19" s="22">
        <f>Targets!P19</f>
        <v/>
      </c>
      <c r="Q19" s="22">
        <f>Targets!Q19</f>
        <v/>
      </c>
      <c r="R19" s="22">
        <f>Targets!R19</f>
        <v/>
      </c>
      <c r="S19" s="22">
        <f>Targets!S19</f>
        <v/>
      </c>
      <c r="T19" s="22">
        <f>Targets!T19</f>
        <v/>
      </c>
      <c r="U19" s="22">
        <f>Targets!U19</f>
        <v/>
      </c>
      <c r="V19" s="22">
        <f>Targets!V19</f>
        <v/>
      </c>
      <c r="W19" s="22">
        <f>Targets!W19</f>
        <v/>
      </c>
      <c r="X19" s="22">
        <f>Targets!X19</f>
        <v/>
      </c>
      <c r="Y19" s="22">
        <f>Targets!Y19</f>
        <v/>
      </c>
      <c r="Z19" s="22">
        <f>Targets!Z19</f>
        <v/>
      </c>
      <c r="AA19" s="22">
        <f>Targets!AA19</f>
        <v/>
      </c>
      <c r="AB19" s="22">
        <f>Targets!AB19</f>
        <v/>
      </c>
      <c r="AC19" s="22">
        <f>Targets!AC19</f>
        <v/>
      </c>
      <c r="AD19" s="22">
        <f>Targets!AD19</f>
        <v/>
      </c>
      <c r="AE19" s="22">
        <f>Targets!AE19</f>
        <v/>
      </c>
      <c r="AF19" s="22">
        <f>Targets!AF19</f>
        <v/>
      </c>
      <c r="AG19" s="22">
        <f>Targets!AG19</f>
        <v/>
      </c>
      <c r="AH19" s="22">
        <f>Targets!AH19</f>
        <v/>
      </c>
      <c r="AI19" s="22">
        <f>Targets!AI19</f>
        <v/>
      </c>
      <c r="AJ19" s="22">
        <f>Targets!AJ19</f>
        <v/>
      </c>
      <c r="AK19" s="22">
        <f>Targets!AK19</f>
        <v/>
      </c>
      <c r="AL19" s="22">
        <f>Targets!AL19</f>
        <v/>
      </c>
      <c r="AM19" s="22">
        <f>Targets!AM19</f>
        <v/>
      </c>
      <c r="AN19" s="22">
        <f>Targets!AN19</f>
        <v/>
      </c>
      <c r="AO19" s="22">
        <f>Targets!AO19</f>
        <v/>
      </c>
      <c r="AP19" s="22">
        <f>Targets!AP19</f>
        <v/>
      </c>
      <c r="AQ19" s="22">
        <f>Targets!AQ19</f>
        <v/>
      </c>
      <c r="AR19" s="22">
        <f>Targets!AR19</f>
        <v/>
      </c>
      <c r="AS19" s="22">
        <f>Targets!AS19</f>
        <v/>
      </c>
      <c r="AT19" s="22">
        <f>Targets!AT19</f>
        <v/>
      </c>
      <c r="AU19" s="22">
        <f>Targets!AU19</f>
        <v/>
      </c>
      <c r="AV19" s="22">
        <f>Targets!AV19</f>
        <v/>
      </c>
      <c r="AW19" s="22">
        <f>Targets!AW19</f>
        <v/>
      </c>
      <c r="AX19" s="22">
        <f>Targets!AX19</f>
        <v/>
      </c>
    </row>
    <row r="20">
      <c r="A20" t="inlineStr">
        <is>
          <t>Offshore contractors — Actual</t>
        </is>
      </c>
      <c r="B20" s="5" t="inlineStr">
        <is>
          <t>$K · org input</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row>
    <row r="21">
      <c r="A21" t="inlineStr">
        <is>
          <t>Onshore contractors — Target</t>
        </is>
      </c>
      <c r="B21" s="5" t="inlineStr">
        <is>
          <t>$K · linked</t>
        </is>
      </c>
      <c r="C21" s="22">
        <f>Targets!C20</f>
        <v/>
      </c>
      <c r="D21" s="22">
        <f>Targets!D20</f>
        <v/>
      </c>
      <c r="E21" s="22">
        <f>Targets!E20</f>
        <v/>
      </c>
      <c r="F21" s="22">
        <f>Targets!F20</f>
        <v/>
      </c>
      <c r="G21" s="22">
        <f>Targets!G20</f>
        <v/>
      </c>
      <c r="H21" s="22">
        <f>Targets!H20</f>
        <v/>
      </c>
      <c r="I21" s="22">
        <f>Targets!I20</f>
        <v/>
      </c>
      <c r="J21" s="22">
        <f>Targets!J20</f>
        <v/>
      </c>
      <c r="K21" s="22">
        <f>Targets!K20</f>
        <v/>
      </c>
      <c r="L21" s="22">
        <f>Targets!L20</f>
        <v/>
      </c>
      <c r="M21" s="22">
        <f>Targets!M20</f>
        <v/>
      </c>
      <c r="N21" s="22">
        <f>Targets!N20</f>
        <v/>
      </c>
      <c r="O21" s="22">
        <f>Targets!O20</f>
        <v/>
      </c>
      <c r="P21" s="22">
        <f>Targets!P20</f>
        <v/>
      </c>
      <c r="Q21" s="22">
        <f>Targets!Q20</f>
        <v/>
      </c>
      <c r="R21" s="22">
        <f>Targets!R20</f>
        <v/>
      </c>
      <c r="S21" s="22">
        <f>Targets!S20</f>
        <v/>
      </c>
      <c r="T21" s="22">
        <f>Targets!T20</f>
        <v/>
      </c>
      <c r="U21" s="22">
        <f>Targets!U20</f>
        <v/>
      </c>
      <c r="V21" s="22">
        <f>Targets!V20</f>
        <v/>
      </c>
      <c r="W21" s="22">
        <f>Targets!W20</f>
        <v/>
      </c>
      <c r="X21" s="22">
        <f>Targets!X20</f>
        <v/>
      </c>
      <c r="Y21" s="22">
        <f>Targets!Y20</f>
        <v/>
      </c>
      <c r="Z21" s="22">
        <f>Targets!Z20</f>
        <v/>
      </c>
      <c r="AA21" s="22">
        <f>Targets!AA20</f>
        <v/>
      </c>
      <c r="AB21" s="22">
        <f>Targets!AB20</f>
        <v/>
      </c>
      <c r="AC21" s="22">
        <f>Targets!AC20</f>
        <v/>
      </c>
      <c r="AD21" s="22">
        <f>Targets!AD20</f>
        <v/>
      </c>
      <c r="AE21" s="22">
        <f>Targets!AE20</f>
        <v/>
      </c>
      <c r="AF21" s="22">
        <f>Targets!AF20</f>
        <v/>
      </c>
      <c r="AG21" s="22">
        <f>Targets!AG20</f>
        <v/>
      </c>
      <c r="AH21" s="22">
        <f>Targets!AH20</f>
        <v/>
      </c>
      <c r="AI21" s="22">
        <f>Targets!AI20</f>
        <v/>
      </c>
      <c r="AJ21" s="22">
        <f>Targets!AJ20</f>
        <v/>
      </c>
      <c r="AK21" s="22">
        <f>Targets!AK20</f>
        <v/>
      </c>
      <c r="AL21" s="22">
        <f>Targets!AL20</f>
        <v/>
      </c>
      <c r="AM21" s="22">
        <f>Targets!AM20</f>
        <v/>
      </c>
      <c r="AN21" s="22">
        <f>Targets!AN20</f>
        <v/>
      </c>
      <c r="AO21" s="22">
        <f>Targets!AO20</f>
        <v/>
      </c>
      <c r="AP21" s="22">
        <f>Targets!AP20</f>
        <v/>
      </c>
      <c r="AQ21" s="22">
        <f>Targets!AQ20</f>
        <v/>
      </c>
      <c r="AR21" s="22">
        <f>Targets!AR20</f>
        <v/>
      </c>
      <c r="AS21" s="22">
        <f>Targets!AS20</f>
        <v/>
      </c>
      <c r="AT21" s="22">
        <f>Targets!AT20</f>
        <v/>
      </c>
      <c r="AU21" s="22">
        <f>Targets!AU20</f>
        <v/>
      </c>
      <c r="AV21" s="22">
        <f>Targets!AV20</f>
        <v/>
      </c>
      <c r="AW21" s="22">
        <f>Targets!AW20</f>
        <v/>
      </c>
      <c r="AX21" s="22">
        <f>Targets!AX20</f>
        <v/>
      </c>
    </row>
    <row r="22">
      <c r="A22" t="inlineStr">
        <is>
          <t>Onshore contractors — Actual</t>
        </is>
      </c>
      <c r="B22" s="5" t="inlineStr">
        <is>
          <t>$K · org input</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row>
    <row r="23">
      <c r="A23" t="inlineStr">
        <is>
          <t>Employees / Other — Target</t>
        </is>
      </c>
      <c r="B23" s="5" t="inlineStr">
        <is>
          <t>$K · linked</t>
        </is>
      </c>
      <c r="C23" s="22">
        <f>Targets!C21</f>
        <v/>
      </c>
      <c r="D23" s="22">
        <f>Targets!D21</f>
        <v/>
      </c>
      <c r="E23" s="22">
        <f>Targets!E21</f>
        <v/>
      </c>
      <c r="F23" s="22">
        <f>Targets!F21</f>
        <v/>
      </c>
      <c r="G23" s="22">
        <f>Targets!G21</f>
        <v/>
      </c>
      <c r="H23" s="22">
        <f>Targets!H21</f>
        <v/>
      </c>
      <c r="I23" s="22">
        <f>Targets!I21</f>
        <v/>
      </c>
      <c r="J23" s="22">
        <f>Targets!J21</f>
        <v/>
      </c>
      <c r="K23" s="22">
        <f>Targets!K21</f>
        <v/>
      </c>
      <c r="L23" s="22">
        <f>Targets!L21</f>
        <v/>
      </c>
      <c r="M23" s="22">
        <f>Targets!M21</f>
        <v/>
      </c>
      <c r="N23" s="22">
        <f>Targets!N21</f>
        <v/>
      </c>
      <c r="O23" s="22">
        <f>Targets!O21</f>
        <v/>
      </c>
      <c r="P23" s="22">
        <f>Targets!P21</f>
        <v/>
      </c>
      <c r="Q23" s="22">
        <f>Targets!Q21</f>
        <v/>
      </c>
      <c r="R23" s="22">
        <f>Targets!R21</f>
        <v/>
      </c>
      <c r="S23" s="22">
        <f>Targets!S21</f>
        <v/>
      </c>
      <c r="T23" s="22">
        <f>Targets!T21</f>
        <v/>
      </c>
      <c r="U23" s="22">
        <f>Targets!U21</f>
        <v/>
      </c>
      <c r="V23" s="22">
        <f>Targets!V21</f>
        <v/>
      </c>
      <c r="W23" s="22">
        <f>Targets!W21</f>
        <v/>
      </c>
      <c r="X23" s="22">
        <f>Targets!X21</f>
        <v/>
      </c>
      <c r="Y23" s="22">
        <f>Targets!Y21</f>
        <v/>
      </c>
      <c r="Z23" s="22">
        <f>Targets!Z21</f>
        <v/>
      </c>
      <c r="AA23" s="22">
        <f>Targets!AA21</f>
        <v/>
      </c>
      <c r="AB23" s="22">
        <f>Targets!AB21</f>
        <v/>
      </c>
      <c r="AC23" s="22">
        <f>Targets!AC21</f>
        <v/>
      </c>
      <c r="AD23" s="22">
        <f>Targets!AD21</f>
        <v/>
      </c>
      <c r="AE23" s="22">
        <f>Targets!AE21</f>
        <v/>
      </c>
      <c r="AF23" s="22">
        <f>Targets!AF21</f>
        <v/>
      </c>
      <c r="AG23" s="22">
        <f>Targets!AG21</f>
        <v/>
      </c>
      <c r="AH23" s="22">
        <f>Targets!AH21</f>
        <v/>
      </c>
      <c r="AI23" s="22">
        <f>Targets!AI21</f>
        <v/>
      </c>
      <c r="AJ23" s="22">
        <f>Targets!AJ21</f>
        <v/>
      </c>
      <c r="AK23" s="22">
        <f>Targets!AK21</f>
        <v/>
      </c>
      <c r="AL23" s="22">
        <f>Targets!AL21</f>
        <v/>
      </c>
      <c r="AM23" s="22">
        <f>Targets!AM21</f>
        <v/>
      </c>
      <c r="AN23" s="22">
        <f>Targets!AN21</f>
        <v/>
      </c>
      <c r="AO23" s="22">
        <f>Targets!AO21</f>
        <v/>
      </c>
      <c r="AP23" s="22">
        <f>Targets!AP21</f>
        <v/>
      </c>
      <c r="AQ23" s="22">
        <f>Targets!AQ21</f>
        <v/>
      </c>
      <c r="AR23" s="22">
        <f>Targets!AR21</f>
        <v/>
      </c>
      <c r="AS23" s="22">
        <f>Targets!AS21</f>
        <v/>
      </c>
      <c r="AT23" s="22">
        <f>Targets!AT21</f>
        <v/>
      </c>
      <c r="AU23" s="22">
        <f>Targets!AU21</f>
        <v/>
      </c>
      <c r="AV23" s="22">
        <f>Targets!AV21</f>
        <v/>
      </c>
      <c r="AW23" s="22">
        <f>Targets!AW21</f>
        <v/>
      </c>
      <c r="AX23" s="22">
        <f>Targets!AX21</f>
        <v/>
      </c>
    </row>
    <row r="24">
      <c r="A24" t="inlineStr">
        <is>
          <t>Employees / Other — Actual</t>
        </is>
      </c>
      <c r="B24" s="5" t="inlineStr">
        <is>
          <t>$K · org input</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row>
    <row r="25">
      <c r="A25" t="inlineStr">
        <is>
          <t>Total gross reductions — Target</t>
        </is>
      </c>
      <c r="B25" s="5" t="inlineStr">
        <is>
          <t>$K · auto</t>
        </is>
      </c>
      <c r="C25" s="15">
        <f>C17+C19+C21+C23</f>
        <v/>
      </c>
      <c r="D25" s="15">
        <f>D17+D19+D21+D23</f>
        <v/>
      </c>
      <c r="E25" s="15">
        <f>E17+E19+E21+E23</f>
        <v/>
      </c>
      <c r="F25" s="15">
        <f>F17+F19+F21+F23</f>
        <v/>
      </c>
      <c r="G25" s="15">
        <f>G17+G19+G21+G23</f>
        <v/>
      </c>
      <c r="H25" s="15">
        <f>H17+H19+H21+H23</f>
        <v/>
      </c>
      <c r="I25" s="15">
        <f>I17+I19+I21+I23</f>
        <v/>
      </c>
      <c r="J25" s="15">
        <f>J17+J19+J21+J23</f>
        <v/>
      </c>
      <c r="K25" s="15">
        <f>K17+K19+K21+K23</f>
        <v/>
      </c>
      <c r="L25" s="15">
        <f>L17+L19+L21+L23</f>
        <v/>
      </c>
      <c r="M25" s="15">
        <f>M17+M19+M21+M23</f>
        <v/>
      </c>
      <c r="N25" s="15">
        <f>N17+N19+N21+N23</f>
        <v/>
      </c>
      <c r="O25" s="15">
        <f>O17+O19+O21+O23</f>
        <v/>
      </c>
      <c r="P25" s="15">
        <f>P17+P19+P21+P23</f>
        <v/>
      </c>
      <c r="Q25" s="15">
        <f>Q17+Q19+Q21+Q23</f>
        <v/>
      </c>
      <c r="R25" s="15">
        <f>R17+R19+R21+R23</f>
        <v/>
      </c>
      <c r="S25" s="15">
        <f>S17+S19+S21+S23</f>
        <v/>
      </c>
      <c r="T25" s="15">
        <f>T17+T19+T21+T23</f>
        <v/>
      </c>
      <c r="U25" s="15">
        <f>U17+U19+U21+U23</f>
        <v/>
      </c>
      <c r="V25" s="15">
        <f>V17+V19+V21+V23</f>
        <v/>
      </c>
      <c r="W25" s="15">
        <f>W17+W19+W21+W23</f>
        <v/>
      </c>
      <c r="X25" s="15">
        <f>X17+X19+X21+X23</f>
        <v/>
      </c>
      <c r="Y25" s="15">
        <f>Y17+Y19+Y21+Y23</f>
        <v/>
      </c>
      <c r="Z25" s="15">
        <f>Z17+Z19+Z21+Z23</f>
        <v/>
      </c>
      <c r="AA25" s="15">
        <f>AA17+AA19+AA21+AA23</f>
        <v/>
      </c>
      <c r="AB25" s="15">
        <f>AB17+AB19+AB21+AB23</f>
        <v/>
      </c>
      <c r="AC25" s="15">
        <f>AC17+AC19+AC21+AC23</f>
        <v/>
      </c>
      <c r="AD25" s="15">
        <f>AD17+AD19+AD21+AD23</f>
        <v/>
      </c>
      <c r="AE25" s="15">
        <f>AE17+AE19+AE21+AE23</f>
        <v/>
      </c>
      <c r="AF25" s="15">
        <f>AF17+AF19+AF21+AF23</f>
        <v/>
      </c>
      <c r="AG25" s="15">
        <f>AG17+AG19+AG21+AG23</f>
        <v/>
      </c>
      <c r="AH25" s="15">
        <f>AH17+AH19+AH21+AH23</f>
        <v/>
      </c>
      <c r="AI25" s="15">
        <f>AI17+AI19+AI21+AI23</f>
        <v/>
      </c>
      <c r="AJ25" s="15">
        <f>AJ17+AJ19+AJ21+AJ23</f>
        <v/>
      </c>
      <c r="AK25" s="15">
        <f>AK17+AK19+AK21+AK23</f>
        <v/>
      </c>
      <c r="AL25" s="15">
        <f>AL17+AL19+AL21+AL23</f>
        <v/>
      </c>
      <c r="AM25" s="15">
        <f>AM17+AM19+AM21+AM23</f>
        <v/>
      </c>
      <c r="AN25" s="15">
        <f>AN17+AN19+AN21+AN23</f>
        <v/>
      </c>
      <c r="AO25" s="15">
        <f>AO17+AO19+AO21+AO23</f>
        <v/>
      </c>
      <c r="AP25" s="15">
        <f>AP17+AP19+AP21+AP23</f>
        <v/>
      </c>
      <c r="AQ25" s="15">
        <f>AQ17+AQ19+AQ21+AQ23</f>
        <v/>
      </c>
      <c r="AR25" s="15">
        <f>AR17+AR19+AR21+AR23</f>
        <v/>
      </c>
      <c r="AS25" s="15">
        <f>AS17+AS19+AS21+AS23</f>
        <v/>
      </c>
      <c r="AT25" s="15">
        <f>AT17+AT19+AT21+AT23</f>
        <v/>
      </c>
      <c r="AU25" s="15">
        <f>AU17+AU19+AU21+AU23</f>
        <v/>
      </c>
      <c r="AV25" s="15">
        <f>AV17+AV19+AV21+AV23</f>
        <v/>
      </c>
      <c r="AW25" s="15">
        <f>AW17+AW19+AW21+AW23</f>
        <v/>
      </c>
      <c r="AX25" s="15">
        <f>AX17+AX19+AX21+AX23</f>
        <v/>
      </c>
    </row>
    <row r="26">
      <c r="A26" t="inlineStr">
        <is>
          <t>Total gross reductions — Actual</t>
        </is>
      </c>
      <c r="B26" s="5" t="inlineStr">
        <is>
          <t>$K · auto</t>
        </is>
      </c>
      <c r="C26" s="15">
        <f>C18+C20+C22+C24</f>
        <v/>
      </c>
      <c r="D26" s="15">
        <f>D18+D20+D22+D24</f>
        <v/>
      </c>
      <c r="E26" s="15">
        <f>E18+E20+E22+E24</f>
        <v/>
      </c>
      <c r="F26" s="15">
        <f>F18+F20+F22+F24</f>
        <v/>
      </c>
      <c r="G26" s="15">
        <f>G18+G20+G22+G24</f>
        <v/>
      </c>
      <c r="H26" s="15">
        <f>H18+H20+H22+H24</f>
        <v/>
      </c>
      <c r="I26" s="15">
        <f>I18+I20+I22+I24</f>
        <v/>
      </c>
      <c r="J26" s="15">
        <f>J18+J20+J22+J24</f>
        <v/>
      </c>
      <c r="K26" s="15">
        <f>K18+K20+K22+K24</f>
        <v/>
      </c>
      <c r="L26" s="15">
        <f>L18+L20+L22+L24</f>
        <v/>
      </c>
      <c r="M26" s="15">
        <f>M18+M20+M22+M24</f>
        <v/>
      </c>
      <c r="N26" s="15">
        <f>N18+N20+N22+N24</f>
        <v/>
      </c>
      <c r="O26" s="15">
        <f>O18+O20+O22+O24</f>
        <v/>
      </c>
      <c r="P26" s="15">
        <f>P18+P20+P22+P24</f>
        <v/>
      </c>
      <c r="Q26" s="15">
        <f>Q18+Q20+Q22+Q24</f>
        <v/>
      </c>
      <c r="R26" s="15">
        <f>R18+R20+R22+R24</f>
        <v/>
      </c>
      <c r="S26" s="15">
        <f>S18+S20+S22+S24</f>
        <v/>
      </c>
      <c r="T26" s="15">
        <f>T18+T20+T22+T24</f>
        <v/>
      </c>
      <c r="U26" s="15">
        <f>U18+U20+U22+U24</f>
        <v/>
      </c>
      <c r="V26" s="15">
        <f>V18+V20+V22+V24</f>
        <v/>
      </c>
      <c r="W26" s="15">
        <f>W18+W20+W22+W24</f>
        <v/>
      </c>
      <c r="X26" s="15">
        <f>X18+X20+X22+X24</f>
        <v/>
      </c>
      <c r="Y26" s="15">
        <f>Y18+Y20+Y22+Y24</f>
        <v/>
      </c>
      <c r="Z26" s="15">
        <f>Z18+Z20+Z22+Z24</f>
        <v/>
      </c>
      <c r="AA26" s="15">
        <f>AA18+AA20+AA22+AA24</f>
        <v/>
      </c>
      <c r="AB26" s="15">
        <f>AB18+AB20+AB22+AB24</f>
        <v/>
      </c>
      <c r="AC26" s="15">
        <f>AC18+AC20+AC22+AC24</f>
        <v/>
      </c>
      <c r="AD26" s="15">
        <f>AD18+AD20+AD22+AD24</f>
        <v/>
      </c>
      <c r="AE26" s="15">
        <f>AE18+AE20+AE22+AE24</f>
        <v/>
      </c>
      <c r="AF26" s="15">
        <f>AF18+AF20+AF22+AF24</f>
        <v/>
      </c>
      <c r="AG26" s="15">
        <f>AG18+AG20+AG22+AG24</f>
        <v/>
      </c>
      <c r="AH26" s="15">
        <f>AH18+AH20+AH22+AH24</f>
        <v/>
      </c>
      <c r="AI26" s="15">
        <f>AI18+AI20+AI22+AI24</f>
        <v/>
      </c>
      <c r="AJ26" s="15">
        <f>AJ18+AJ20+AJ22+AJ24</f>
        <v/>
      </c>
      <c r="AK26" s="15">
        <f>AK18+AK20+AK22+AK24</f>
        <v/>
      </c>
      <c r="AL26" s="15">
        <f>AL18+AL20+AL22+AL24</f>
        <v/>
      </c>
      <c r="AM26" s="15">
        <f>AM18+AM20+AM22+AM24</f>
        <v/>
      </c>
      <c r="AN26" s="15">
        <f>AN18+AN20+AN22+AN24</f>
        <v/>
      </c>
      <c r="AO26" s="15">
        <f>AO18+AO20+AO22+AO24</f>
        <v/>
      </c>
      <c r="AP26" s="15">
        <f>AP18+AP20+AP22+AP24</f>
        <v/>
      </c>
      <c r="AQ26" s="15">
        <f>AQ18+AQ20+AQ22+AQ24</f>
        <v/>
      </c>
      <c r="AR26" s="15">
        <f>AR18+AR20+AR22+AR24</f>
        <v/>
      </c>
      <c r="AS26" s="15">
        <f>AS18+AS20+AS22+AS24</f>
        <v/>
      </c>
      <c r="AT26" s="15">
        <f>AT18+AT20+AT22+AT24</f>
        <v/>
      </c>
      <c r="AU26" s="15">
        <f>AU18+AU20+AU22+AU24</f>
        <v/>
      </c>
      <c r="AV26" s="15">
        <f>AV18+AV20+AV22+AV24</f>
        <v/>
      </c>
      <c r="AW26" s="15">
        <f>AW18+AW20+AW22+AW24</f>
        <v/>
      </c>
      <c r="AX26" s="15">
        <f>AX18+AX20+AX22+AX24</f>
        <v/>
      </c>
    </row>
    <row r="27">
      <c r="A27" t="inlineStr">
        <is>
          <t>Gross reductions variance</t>
        </is>
      </c>
      <c r="B27" s="5" t="inlineStr">
        <is>
          <t>$K · auto</t>
        </is>
      </c>
      <c r="C27" s="24">
        <f>C26-C25</f>
        <v/>
      </c>
      <c r="D27" s="24">
        <f>D26-D25</f>
        <v/>
      </c>
      <c r="E27" s="24">
        <f>E26-E25</f>
        <v/>
      </c>
      <c r="F27" s="24">
        <f>F26-F25</f>
        <v/>
      </c>
      <c r="G27" s="24">
        <f>G26-G25</f>
        <v/>
      </c>
      <c r="H27" s="24">
        <f>H26-H25</f>
        <v/>
      </c>
      <c r="I27" s="24">
        <f>I26-I25</f>
        <v/>
      </c>
      <c r="J27" s="24">
        <f>J26-J25</f>
        <v/>
      </c>
      <c r="K27" s="24">
        <f>K26-K25</f>
        <v/>
      </c>
      <c r="L27" s="24">
        <f>L26-L25</f>
        <v/>
      </c>
      <c r="M27" s="24">
        <f>M26-M25</f>
        <v/>
      </c>
      <c r="N27" s="24">
        <f>N26-N25</f>
        <v/>
      </c>
      <c r="O27" s="24">
        <f>O26-O25</f>
        <v/>
      </c>
      <c r="P27" s="24">
        <f>P26-P25</f>
        <v/>
      </c>
      <c r="Q27" s="24">
        <f>Q26-Q25</f>
        <v/>
      </c>
      <c r="R27" s="24">
        <f>R26-R25</f>
        <v/>
      </c>
      <c r="S27" s="24">
        <f>S26-S25</f>
        <v/>
      </c>
      <c r="T27" s="24">
        <f>T26-T25</f>
        <v/>
      </c>
      <c r="U27" s="24">
        <f>U26-U25</f>
        <v/>
      </c>
      <c r="V27" s="24">
        <f>V26-V25</f>
        <v/>
      </c>
      <c r="W27" s="24">
        <f>W26-W25</f>
        <v/>
      </c>
      <c r="X27" s="24">
        <f>X26-X25</f>
        <v/>
      </c>
      <c r="Y27" s="24">
        <f>Y26-Y25</f>
        <v/>
      </c>
      <c r="Z27" s="24">
        <f>Z26-Z25</f>
        <v/>
      </c>
      <c r="AA27" s="24">
        <f>AA26-AA25</f>
        <v/>
      </c>
      <c r="AB27" s="24">
        <f>AB26-AB25</f>
        <v/>
      </c>
      <c r="AC27" s="24">
        <f>AC26-AC25</f>
        <v/>
      </c>
      <c r="AD27" s="24">
        <f>AD26-AD25</f>
        <v/>
      </c>
      <c r="AE27" s="24">
        <f>AE26-AE25</f>
        <v/>
      </c>
      <c r="AF27" s="24">
        <f>AF26-AF25</f>
        <v/>
      </c>
      <c r="AG27" s="24">
        <f>AG26-AG25</f>
        <v/>
      </c>
      <c r="AH27" s="24">
        <f>AH26-AH25</f>
        <v/>
      </c>
      <c r="AI27" s="24">
        <f>AI26-AI25</f>
        <v/>
      </c>
      <c r="AJ27" s="24">
        <f>AJ26-AJ25</f>
        <v/>
      </c>
      <c r="AK27" s="24">
        <f>AK26-AK25</f>
        <v/>
      </c>
      <c r="AL27" s="24">
        <f>AL26-AL25</f>
        <v/>
      </c>
      <c r="AM27" s="24">
        <f>AM26-AM25</f>
        <v/>
      </c>
      <c r="AN27" s="24">
        <f>AN26-AN25</f>
        <v/>
      </c>
      <c r="AO27" s="24">
        <f>AO26-AO25</f>
        <v/>
      </c>
      <c r="AP27" s="24">
        <f>AP26-AP25</f>
        <v/>
      </c>
      <c r="AQ27" s="24">
        <f>AQ26-AQ25</f>
        <v/>
      </c>
      <c r="AR27" s="24">
        <f>AR26-AR25</f>
        <v/>
      </c>
      <c r="AS27" s="24">
        <f>AS26-AS25</f>
        <v/>
      </c>
      <c r="AT27" s="24">
        <f>AT26-AT25</f>
        <v/>
      </c>
      <c r="AU27" s="24">
        <f>AU26-AU25</f>
        <v/>
      </c>
      <c r="AV27" s="24">
        <f>AV26-AV25</f>
        <v/>
      </c>
      <c r="AW27" s="24">
        <f>AW26-AW25</f>
        <v/>
      </c>
      <c r="AX27" s="24">
        <f>AX26-AX25</f>
        <v/>
      </c>
    </row>
    <row r="28">
      <c r="A28" t="inlineStr">
        <is>
          <t>Headcount reduced in month — Actual</t>
        </is>
      </c>
      <c r="B28" s="5" t="inlineStr">
        <is>
          <t>heads · org input</t>
        </is>
      </c>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c r="Z28" s="25" t="n"/>
      <c r="AA28" s="25" t="n"/>
      <c r="AB28" s="25" t="n"/>
      <c r="AC28" s="25" t="n"/>
      <c r="AD28" s="25" t="n"/>
      <c r="AE28" s="25" t="n"/>
      <c r="AF28" s="25" t="n"/>
      <c r="AG28" s="25" t="n"/>
      <c r="AH28" s="25" t="n"/>
      <c r="AI28" s="25" t="n"/>
      <c r="AJ28" s="25" t="n"/>
      <c r="AK28" s="25" t="n"/>
      <c r="AL28" s="25" t="n"/>
      <c r="AM28" s="25" t="n"/>
      <c r="AN28" s="25" t="n"/>
      <c r="AO28" s="25" t="n"/>
      <c r="AP28" s="25" t="n"/>
      <c r="AQ28" s="25" t="n"/>
      <c r="AR28" s="25" t="n"/>
      <c r="AS28" s="25" t="n"/>
      <c r="AT28" s="25" t="n"/>
      <c r="AU28" s="25" t="n"/>
      <c r="AV28" s="25" t="n"/>
      <c r="AW28" s="25" t="n"/>
      <c r="AX28" s="25" t="n"/>
    </row>
    <row r="29">
      <c r="A29" t="inlineStr">
        <is>
          <t>Exit run-rate of reductions (annualized)</t>
        </is>
      </c>
      <c r="B29" s="5" t="inlineStr">
        <is>
          <t>$K · org input</t>
        </is>
      </c>
      <c r="C29" s="23" t="n"/>
      <c r="D29" s="23" t="n"/>
      <c r="E29" s="23" t="n"/>
      <c r="F29" s="23" t="n"/>
      <c r="G29" s="23" t="n"/>
      <c r="H29" s="23" t="n"/>
      <c r="I29" s="23" t="n"/>
      <c r="J29" s="23" t="n"/>
      <c r="K29" s="23" t="n"/>
      <c r="L29" s="23" t="n"/>
      <c r="M29" s="23" t="n"/>
      <c r="N29" s="23" t="n"/>
      <c r="O29" s="23" t="n"/>
      <c r="P29" s="23" t="n"/>
      <c r="Q29" s="23" t="n"/>
      <c r="R29" s="23" t="n"/>
      <c r="S29" s="23" t="n"/>
      <c r="T29" s="23" t="n"/>
      <c r="U29" s="23" t="n"/>
      <c r="V29" s="23" t="n"/>
      <c r="W29" s="23" t="n"/>
      <c r="X29" s="23" t="n"/>
      <c r="Y29" s="23" t="n"/>
      <c r="Z29" s="23" t="n"/>
      <c r="AA29" s="23" t="n"/>
      <c r="AB29" s="23" t="n"/>
      <c r="AC29" s="23" t="n"/>
      <c r="AD29" s="23" t="n"/>
      <c r="AE29" s="23" t="n"/>
      <c r="AF29" s="23" t="n"/>
      <c r="AG29" s="23" t="n"/>
      <c r="AH29" s="23" t="n"/>
      <c r="AI29" s="23" t="n"/>
      <c r="AJ29" s="23" t="n"/>
      <c r="AK29" s="23" t="n"/>
      <c r="AL29" s="23" t="n"/>
      <c r="AM29" s="23" t="n"/>
      <c r="AN29" s="23" t="n"/>
      <c r="AO29" s="23" t="n"/>
      <c r="AP29" s="23" t="n"/>
      <c r="AQ29" s="23" t="n"/>
      <c r="AR29" s="23" t="n"/>
      <c r="AS29" s="23" t="n"/>
      <c r="AT29" s="23" t="n"/>
      <c r="AU29" s="23" t="n"/>
      <c r="AV29" s="23" t="n"/>
      <c r="AW29" s="23" t="n"/>
      <c r="AX29" s="23" t="n"/>
    </row>
    <row r="30">
      <c r="A30" s="11" t="inlineStr">
        <is>
          <t>C.  INDIA COST ADDS</t>
        </is>
      </c>
      <c r="B30" s="16" t="inlineStr"/>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row>
    <row r="31">
      <c r="A31" t="inlineStr">
        <is>
          <t>India loaded cost adds — Target</t>
        </is>
      </c>
      <c r="B31" s="5" t="inlineStr">
        <is>
          <t>$K · linked</t>
        </is>
      </c>
      <c r="C31" s="22">
        <f>Targets!C22</f>
        <v/>
      </c>
      <c r="D31" s="22">
        <f>Targets!D22</f>
        <v/>
      </c>
      <c r="E31" s="22">
        <f>Targets!E22</f>
        <v/>
      </c>
      <c r="F31" s="22">
        <f>Targets!F22</f>
        <v/>
      </c>
      <c r="G31" s="22">
        <f>Targets!G22</f>
        <v/>
      </c>
      <c r="H31" s="22">
        <f>Targets!H22</f>
        <v/>
      </c>
      <c r="I31" s="22">
        <f>Targets!I22</f>
        <v/>
      </c>
      <c r="J31" s="22">
        <f>Targets!J22</f>
        <v/>
      </c>
      <c r="K31" s="22">
        <f>Targets!K22</f>
        <v/>
      </c>
      <c r="L31" s="22">
        <f>Targets!L22</f>
        <v/>
      </c>
      <c r="M31" s="22">
        <f>Targets!M22</f>
        <v/>
      </c>
      <c r="N31" s="22">
        <f>Targets!N22</f>
        <v/>
      </c>
      <c r="O31" s="22">
        <f>Targets!O22</f>
        <v/>
      </c>
      <c r="P31" s="22">
        <f>Targets!P22</f>
        <v/>
      </c>
      <c r="Q31" s="22">
        <f>Targets!Q22</f>
        <v/>
      </c>
      <c r="R31" s="22">
        <f>Targets!R22</f>
        <v/>
      </c>
      <c r="S31" s="22">
        <f>Targets!S22</f>
        <v/>
      </c>
      <c r="T31" s="22">
        <f>Targets!T22</f>
        <v/>
      </c>
      <c r="U31" s="22">
        <f>Targets!U22</f>
        <v/>
      </c>
      <c r="V31" s="22">
        <f>Targets!V22</f>
        <v/>
      </c>
      <c r="W31" s="22">
        <f>Targets!W22</f>
        <v/>
      </c>
      <c r="X31" s="22">
        <f>Targets!X22</f>
        <v/>
      </c>
      <c r="Y31" s="22">
        <f>Targets!Y22</f>
        <v/>
      </c>
      <c r="Z31" s="22">
        <f>Targets!Z22</f>
        <v/>
      </c>
      <c r="AA31" s="22">
        <f>Targets!AA22</f>
        <v/>
      </c>
      <c r="AB31" s="22">
        <f>Targets!AB22</f>
        <v/>
      </c>
      <c r="AC31" s="22">
        <f>Targets!AC22</f>
        <v/>
      </c>
      <c r="AD31" s="22">
        <f>Targets!AD22</f>
        <v/>
      </c>
      <c r="AE31" s="22">
        <f>Targets!AE22</f>
        <v/>
      </c>
      <c r="AF31" s="22">
        <f>Targets!AF22</f>
        <v/>
      </c>
      <c r="AG31" s="22">
        <f>Targets!AG22</f>
        <v/>
      </c>
      <c r="AH31" s="22">
        <f>Targets!AH22</f>
        <v/>
      </c>
      <c r="AI31" s="22">
        <f>Targets!AI22</f>
        <v/>
      </c>
      <c r="AJ31" s="22">
        <f>Targets!AJ22</f>
        <v/>
      </c>
      <c r="AK31" s="22">
        <f>Targets!AK22</f>
        <v/>
      </c>
      <c r="AL31" s="22">
        <f>Targets!AL22</f>
        <v/>
      </c>
      <c r="AM31" s="22">
        <f>Targets!AM22</f>
        <v/>
      </c>
      <c r="AN31" s="22">
        <f>Targets!AN22</f>
        <v/>
      </c>
      <c r="AO31" s="22">
        <f>Targets!AO22</f>
        <v/>
      </c>
      <c r="AP31" s="22">
        <f>Targets!AP22</f>
        <v/>
      </c>
      <c r="AQ31" s="22">
        <f>Targets!AQ22</f>
        <v/>
      </c>
      <c r="AR31" s="22">
        <f>Targets!AR22</f>
        <v/>
      </c>
      <c r="AS31" s="22">
        <f>Targets!AS22</f>
        <v/>
      </c>
      <c r="AT31" s="22">
        <f>Targets!AT22</f>
        <v/>
      </c>
      <c r="AU31" s="22">
        <f>Targets!AU22</f>
        <v/>
      </c>
      <c r="AV31" s="22">
        <f>Targets!AV22</f>
        <v/>
      </c>
      <c r="AW31" s="22">
        <f>Targets!AW22</f>
        <v/>
      </c>
      <c r="AX31" s="22">
        <f>Targets!AX22</f>
        <v/>
      </c>
    </row>
    <row r="32">
      <c r="A32" t="inlineStr">
        <is>
          <t>India loaded cost adds — Actual</t>
        </is>
      </c>
      <c r="B32" s="5" t="inlineStr">
        <is>
          <t>$K · org input</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row>
    <row r="33">
      <c r="A33" t="inlineStr">
        <is>
          <t>One-time transition costs (memo — never net)</t>
        </is>
      </c>
      <c r="B33" s="5" t="inlineStr">
        <is>
          <t>$K · org input</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row>
    <row r="34">
      <c r="A34" s="11" t="inlineStr">
        <is>
          <t>D.  NET LABOR ARBITRAGE  (B − C)</t>
        </is>
      </c>
      <c r="B34" s="16" t="inlineStr"/>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row>
    <row r="35">
      <c r="A35" t="inlineStr">
        <is>
          <t>Net labor arbitrage — Target</t>
        </is>
      </c>
      <c r="B35" s="5" t="inlineStr">
        <is>
          <t>$K · linked</t>
        </is>
      </c>
      <c r="C35" s="22">
        <f>Targets!C23</f>
        <v/>
      </c>
      <c r="D35" s="22">
        <f>Targets!D23</f>
        <v/>
      </c>
      <c r="E35" s="22">
        <f>Targets!E23</f>
        <v/>
      </c>
      <c r="F35" s="22">
        <f>Targets!F23</f>
        <v/>
      </c>
      <c r="G35" s="22">
        <f>Targets!G23</f>
        <v/>
      </c>
      <c r="H35" s="22">
        <f>Targets!H23</f>
        <v/>
      </c>
      <c r="I35" s="22">
        <f>Targets!I23</f>
        <v/>
      </c>
      <c r="J35" s="22">
        <f>Targets!J23</f>
        <v/>
      </c>
      <c r="K35" s="22">
        <f>Targets!K23</f>
        <v/>
      </c>
      <c r="L35" s="22">
        <f>Targets!L23</f>
        <v/>
      </c>
      <c r="M35" s="22">
        <f>Targets!M23</f>
        <v/>
      </c>
      <c r="N35" s="22">
        <f>Targets!N23</f>
        <v/>
      </c>
      <c r="O35" s="22">
        <f>Targets!O23</f>
        <v/>
      </c>
      <c r="P35" s="22">
        <f>Targets!P23</f>
        <v/>
      </c>
      <c r="Q35" s="22">
        <f>Targets!Q23</f>
        <v/>
      </c>
      <c r="R35" s="22">
        <f>Targets!R23</f>
        <v/>
      </c>
      <c r="S35" s="22">
        <f>Targets!S23</f>
        <v/>
      </c>
      <c r="T35" s="22">
        <f>Targets!T23</f>
        <v/>
      </c>
      <c r="U35" s="22">
        <f>Targets!U23</f>
        <v/>
      </c>
      <c r="V35" s="22">
        <f>Targets!V23</f>
        <v/>
      </c>
      <c r="W35" s="22">
        <f>Targets!W23</f>
        <v/>
      </c>
      <c r="X35" s="22">
        <f>Targets!X23</f>
        <v/>
      </c>
      <c r="Y35" s="22">
        <f>Targets!Y23</f>
        <v/>
      </c>
      <c r="Z35" s="22">
        <f>Targets!Z23</f>
        <v/>
      </c>
      <c r="AA35" s="22">
        <f>Targets!AA23</f>
        <v/>
      </c>
      <c r="AB35" s="22">
        <f>Targets!AB23</f>
        <v/>
      </c>
      <c r="AC35" s="22">
        <f>Targets!AC23</f>
        <v/>
      </c>
      <c r="AD35" s="22">
        <f>Targets!AD23</f>
        <v/>
      </c>
      <c r="AE35" s="22">
        <f>Targets!AE23</f>
        <v/>
      </c>
      <c r="AF35" s="22">
        <f>Targets!AF23</f>
        <v/>
      </c>
      <c r="AG35" s="22">
        <f>Targets!AG23</f>
        <v/>
      </c>
      <c r="AH35" s="22">
        <f>Targets!AH23</f>
        <v/>
      </c>
      <c r="AI35" s="22">
        <f>Targets!AI23</f>
        <v/>
      </c>
      <c r="AJ35" s="22">
        <f>Targets!AJ23</f>
        <v/>
      </c>
      <c r="AK35" s="22">
        <f>Targets!AK23</f>
        <v/>
      </c>
      <c r="AL35" s="22">
        <f>Targets!AL23</f>
        <v/>
      </c>
      <c r="AM35" s="22">
        <f>Targets!AM23</f>
        <v/>
      </c>
      <c r="AN35" s="22">
        <f>Targets!AN23</f>
        <v/>
      </c>
      <c r="AO35" s="22">
        <f>Targets!AO23</f>
        <v/>
      </c>
      <c r="AP35" s="22">
        <f>Targets!AP23</f>
        <v/>
      </c>
      <c r="AQ35" s="22">
        <f>Targets!AQ23</f>
        <v/>
      </c>
      <c r="AR35" s="22">
        <f>Targets!AR23</f>
        <v/>
      </c>
      <c r="AS35" s="22">
        <f>Targets!AS23</f>
        <v/>
      </c>
      <c r="AT35" s="22">
        <f>Targets!AT23</f>
        <v/>
      </c>
      <c r="AU35" s="22">
        <f>Targets!AU23</f>
        <v/>
      </c>
      <c r="AV35" s="22">
        <f>Targets!AV23</f>
        <v/>
      </c>
      <c r="AW35" s="22">
        <f>Targets!AW23</f>
        <v/>
      </c>
      <c r="AX35" s="22">
        <f>Targets!AX23</f>
        <v/>
      </c>
    </row>
    <row r="36">
      <c r="A36" t="inlineStr">
        <is>
          <t>Net labor arbitrage — Actual</t>
        </is>
      </c>
      <c r="B36" s="5" t="inlineStr">
        <is>
          <t>$K · auto</t>
        </is>
      </c>
      <c r="C36" s="15">
        <f>C26-C32</f>
        <v/>
      </c>
      <c r="D36" s="15">
        <f>D26-D32</f>
        <v/>
      </c>
      <c r="E36" s="15">
        <f>E26-E32</f>
        <v/>
      </c>
      <c r="F36" s="15">
        <f>F26-F32</f>
        <v/>
      </c>
      <c r="G36" s="15">
        <f>G26-G32</f>
        <v/>
      </c>
      <c r="H36" s="15">
        <f>H26-H32</f>
        <v/>
      </c>
      <c r="I36" s="15">
        <f>I26-I32</f>
        <v/>
      </c>
      <c r="J36" s="15">
        <f>J26-J32</f>
        <v/>
      </c>
      <c r="K36" s="15">
        <f>K26-K32</f>
        <v/>
      </c>
      <c r="L36" s="15">
        <f>L26-L32</f>
        <v/>
      </c>
      <c r="M36" s="15">
        <f>M26-M32</f>
        <v/>
      </c>
      <c r="N36" s="15">
        <f>N26-N32</f>
        <v/>
      </c>
      <c r="O36" s="15">
        <f>O26-O32</f>
        <v/>
      </c>
      <c r="P36" s="15">
        <f>P26-P32</f>
        <v/>
      </c>
      <c r="Q36" s="15">
        <f>Q26-Q32</f>
        <v/>
      </c>
      <c r="R36" s="15">
        <f>R26-R32</f>
        <v/>
      </c>
      <c r="S36" s="15">
        <f>S26-S32</f>
        <v/>
      </c>
      <c r="T36" s="15">
        <f>T26-T32</f>
        <v/>
      </c>
      <c r="U36" s="15">
        <f>U26-U32</f>
        <v/>
      </c>
      <c r="V36" s="15">
        <f>V26-V32</f>
        <v/>
      </c>
      <c r="W36" s="15">
        <f>W26-W32</f>
        <v/>
      </c>
      <c r="X36" s="15">
        <f>X26-X32</f>
        <v/>
      </c>
      <c r="Y36" s="15">
        <f>Y26-Y32</f>
        <v/>
      </c>
      <c r="Z36" s="15">
        <f>Z26-Z32</f>
        <v/>
      </c>
      <c r="AA36" s="15">
        <f>AA26-AA32</f>
        <v/>
      </c>
      <c r="AB36" s="15">
        <f>AB26-AB32</f>
        <v/>
      </c>
      <c r="AC36" s="15">
        <f>AC26-AC32</f>
        <v/>
      </c>
      <c r="AD36" s="15">
        <f>AD26-AD32</f>
        <v/>
      </c>
      <c r="AE36" s="15">
        <f>AE26-AE32</f>
        <v/>
      </c>
      <c r="AF36" s="15">
        <f>AF26-AF32</f>
        <v/>
      </c>
      <c r="AG36" s="15">
        <f>AG26-AG32</f>
        <v/>
      </c>
      <c r="AH36" s="15">
        <f>AH26-AH32</f>
        <v/>
      </c>
      <c r="AI36" s="15">
        <f>AI26-AI32</f>
        <v/>
      </c>
      <c r="AJ36" s="15">
        <f>AJ26-AJ32</f>
        <v/>
      </c>
      <c r="AK36" s="15">
        <f>AK26-AK32</f>
        <v/>
      </c>
      <c r="AL36" s="15">
        <f>AL26-AL32</f>
        <v/>
      </c>
      <c r="AM36" s="15">
        <f>AM26-AM32</f>
        <v/>
      </c>
      <c r="AN36" s="15">
        <f>AN26-AN32</f>
        <v/>
      </c>
      <c r="AO36" s="15">
        <f>AO26-AO32</f>
        <v/>
      </c>
      <c r="AP36" s="15">
        <f>AP26-AP32</f>
        <v/>
      </c>
      <c r="AQ36" s="15">
        <f>AQ26-AQ32</f>
        <v/>
      </c>
      <c r="AR36" s="15">
        <f>AR26-AR32</f>
        <v/>
      </c>
      <c r="AS36" s="15">
        <f>AS26-AS32</f>
        <v/>
      </c>
      <c r="AT36" s="15">
        <f>AT26-AT32</f>
        <v/>
      </c>
      <c r="AU36" s="15">
        <f>AU26-AU32</f>
        <v/>
      </c>
      <c r="AV36" s="15">
        <f>AV26-AV32</f>
        <v/>
      </c>
      <c r="AW36" s="15">
        <f>AW26-AW32</f>
        <v/>
      </c>
      <c r="AX36" s="15">
        <f>AX26-AX32</f>
        <v/>
      </c>
    </row>
    <row r="37">
      <c r="A37" t="inlineStr">
        <is>
          <t>Net variance (Actual − Target)</t>
        </is>
      </c>
      <c r="B37" s="5" t="inlineStr">
        <is>
          <t>$K · auto</t>
        </is>
      </c>
      <c r="C37" s="15">
        <f>C36-C35</f>
        <v/>
      </c>
      <c r="D37" s="15">
        <f>D36-D35</f>
        <v/>
      </c>
      <c r="E37" s="15">
        <f>E36-E35</f>
        <v/>
      </c>
      <c r="F37" s="15">
        <f>F36-F35</f>
        <v/>
      </c>
      <c r="G37" s="15">
        <f>G36-G35</f>
        <v/>
      </c>
      <c r="H37" s="15">
        <f>H36-H35</f>
        <v/>
      </c>
      <c r="I37" s="15">
        <f>I36-I35</f>
        <v/>
      </c>
      <c r="J37" s="15">
        <f>J36-J35</f>
        <v/>
      </c>
      <c r="K37" s="15">
        <f>K36-K35</f>
        <v/>
      </c>
      <c r="L37" s="15">
        <f>L36-L35</f>
        <v/>
      </c>
      <c r="M37" s="15">
        <f>M36-M35</f>
        <v/>
      </c>
      <c r="N37" s="15">
        <f>N36-N35</f>
        <v/>
      </c>
      <c r="O37" s="15">
        <f>O36-O35</f>
        <v/>
      </c>
      <c r="P37" s="15">
        <f>P36-P35</f>
        <v/>
      </c>
      <c r="Q37" s="15">
        <f>Q36-Q35</f>
        <v/>
      </c>
      <c r="R37" s="15">
        <f>R36-R35</f>
        <v/>
      </c>
      <c r="S37" s="15">
        <f>S36-S35</f>
        <v/>
      </c>
      <c r="T37" s="15">
        <f>T36-T35</f>
        <v/>
      </c>
      <c r="U37" s="15">
        <f>U36-U35</f>
        <v/>
      </c>
      <c r="V37" s="15">
        <f>V36-V35</f>
        <v/>
      </c>
      <c r="W37" s="15">
        <f>W36-W35</f>
        <v/>
      </c>
      <c r="X37" s="15">
        <f>X36-X35</f>
        <v/>
      </c>
      <c r="Y37" s="15">
        <f>Y36-Y35</f>
        <v/>
      </c>
      <c r="Z37" s="15">
        <f>Z36-Z35</f>
        <v/>
      </c>
      <c r="AA37" s="15">
        <f>AA36-AA35</f>
        <v/>
      </c>
      <c r="AB37" s="15">
        <f>AB36-AB35</f>
        <v/>
      </c>
      <c r="AC37" s="15">
        <f>AC36-AC35</f>
        <v/>
      </c>
      <c r="AD37" s="15">
        <f>AD36-AD35</f>
        <v/>
      </c>
      <c r="AE37" s="15">
        <f>AE36-AE35</f>
        <v/>
      </c>
      <c r="AF37" s="15">
        <f>AF36-AF35</f>
        <v/>
      </c>
      <c r="AG37" s="15">
        <f>AG36-AG35</f>
        <v/>
      </c>
      <c r="AH37" s="15">
        <f>AH36-AH35</f>
        <v/>
      </c>
      <c r="AI37" s="15">
        <f>AI36-AI35</f>
        <v/>
      </c>
      <c r="AJ37" s="15">
        <f>AJ36-AJ35</f>
        <v/>
      </c>
      <c r="AK37" s="15">
        <f>AK36-AK35</f>
        <v/>
      </c>
      <c r="AL37" s="15">
        <f>AL36-AL35</f>
        <v/>
      </c>
      <c r="AM37" s="15">
        <f>AM36-AM35</f>
        <v/>
      </c>
      <c r="AN37" s="15">
        <f>AN36-AN35</f>
        <v/>
      </c>
      <c r="AO37" s="15">
        <f>AO36-AO35</f>
        <v/>
      </c>
      <c r="AP37" s="15">
        <f>AP36-AP35</f>
        <v/>
      </c>
      <c r="AQ37" s="15">
        <f>AQ36-AQ35</f>
        <v/>
      </c>
      <c r="AR37" s="15">
        <f>AR36-AR35</f>
        <v/>
      </c>
      <c r="AS37" s="15">
        <f>AS36-AS35</f>
        <v/>
      </c>
      <c r="AT37" s="15">
        <f>AT36-AT35</f>
        <v/>
      </c>
      <c r="AU37" s="15">
        <f>AU36-AU35</f>
        <v/>
      </c>
      <c r="AV37" s="15">
        <f>AV36-AV35</f>
        <v/>
      </c>
      <c r="AW37" s="15">
        <f>AW36-AW35</f>
        <v/>
      </c>
      <c r="AX37" s="15">
        <f>AX36-AX35</f>
        <v/>
      </c>
    </row>
    <row r="38">
      <c r="A38" t="inlineStr">
        <is>
          <t>Cumulative net arbitrage — Target</t>
        </is>
      </c>
      <c r="B38" s="5" t="inlineStr">
        <is>
          <t>$K · auto</t>
        </is>
      </c>
      <c r="C38" s="15">
        <f>SUM($C35:C35)</f>
        <v/>
      </c>
      <c r="D38" s="15">
        <f>SUM($C35:D35)</f>
        <v/>
      </c>
      <c r="E38" s="15">
        <f>SUM($C35:E35)</f>
        <v/>
      </c>
      <c r="F38" s="15">
        <f>SUM($C35:F35)</f>
        <v/>
      </c>
      <c r="G38" s="15">
        <f>SUM($C35:G35)</f>
        <v/>
      </c>
      <c r="H38" s="15">
        <f>SUM($C35:H35)</f>
        <v/>
      </c>
      <c r="I38" s="15">
        <f>SUM($C35:I35)</f>
        <v/>
      </c>
      <c r="J38" s="15">
        <f>SUM($C35:J35)</f>
        <v/>
      </c>
      <c r="K38" s="15">
        <f>SUM($C35:K35)</f>
        <v/>
      </c>
      <c r="L38" s="15">
        <f>SUM($C35:L35)</f>
        <v/>
      </c>
      <c r="M38" s="15">
        <f>SUM($C35:M35)</f>
        <v/>
      </c>
      <c r="N38" s="15">
        <f>SUM($C35:N35)</f>
        <v/>
      </c>
      <c r="O38" s="15">
        <f>SUM($C35:O35)</f>
        <v/>
      </c>
      <c r="P38" s="15">
        <f>SUM($C35:P35)</f>
        <v/>
      </c>
      <c r="Q38" s="15">
        <f>SUM($C35:Q35)</f>
        <v/>
      </c>
      <c r="R38" s="15">
        <f>SUM($C35:R35)</f>
        <v/>
      </c>
      <c r="S38" s="15">
        <f>SUM($C35:S35)</f>
        <v/>
      </c>
      <c r="T38" s="15">
        <f>SUM($C35:T35)</f>
        <v/>
      </c>
      <c r="U38" s="15">
        <f>SUM($C35:U35)</f>
        <v/>
      </c>
      <c r="V38" s="15">
        <f>SUM($C35:V35)</f>
        <v/>
      </c>
      <c r="W38" s="15">
        <f>SUM($C35:W35)</f>
        <v/>
      </c>
      <c r="X38" s="15">
        <f>SUM($C35:X35)</f>
        <v/>
      </c>
      <c r="Y38" s="15">
        <f>SUM($C35:Y35)</f>
        <v/>
      </c>
      <c r="Z38" s="15">
        <f>SUM($C35:Z35)</f>
        <v/>
      </c>
      <c r="AA38" s="15">
        <f>SUM($C35:AA35)</f>
        <v/>
      </c>
      <c r="AB38" s="15">
        <f>SUM($C35:AB35)</f>
        <v/>
      </c>
      <c r="AC38" s="15">
        <f>SUM($C35:AC35)</f>
        <v/>
      </c>
      <c r="AD38" s="15">
        <f>SUM($C35:AD35)</f>
        <v/>
      </c>
      <c r="AE38" s="15">
        <f>SUM($C35:AE35)</f>
        <v/>
      </c>
      <c r="AF38" s="15">
        <f>SUM($C35:AF35)</f>
        <v/>
      </c>
      <c r="AG38" s="15">
        <f>SUM($C35:AG35)</f>
        <v/>
      </c>
      <c r="AH38" s="15">
        <f>SUM($C35:AH35)</f>
        <v/>
      </c>
      <c r="AI38" s="15">
        <f>SUM($C35:AI35)</f>
        <v/>
      </c>
      <c r="AJ38" s="15">
        <f>SUM($C35:AJ35)</f>
        <v/>
      </c>
      <c r="AK38" s="15">
        <f>SUM($C35:AK35)</f>
        <v/>
      </c>
      <c r="AL38" s="15">
        <f>SUM($C35:AL35)</f>
        <v/>
      </c>
      <c r="AM38" s="15">
        <f>SUM($C35:AM35)</f>
        <v/>
      </c>
      <c r="AN38" s="15">
        <f>SUM($C35:AN35)</f>
        <v/>
      </c>
      <c r="AO38" s="15">
        <f>SUM($C35:AO35)</f>
        <v/>
      </c>
      <c r="AP38" s="15">
        <f>SUM($C35:AP35)</f>
        <v/>
      </c>
      <c r="AQ38" s="15">
        <f>SUM($C35:AQ35)</f>
        <v/>
      </c>
      <c r="AR38" s="15">
        <f>SUM($C35:AR35)</f>
        <v/>
      </c>
      <c r="AS38" s="15">
        <f>SUM($C35:AS35)</f>
        <v/>
      </c>
      <c r="AT38" s="15">
        <f>SUM($C35:AT35)</f>
        <v/>
      </c>
      <c r="AU38" s="15">
        <f>SUM($C35:AU35)</f>
        <v/>
      </c>
      <c r="AV38" s="15">
        <f>SUM($C35:AV35)</f>
        <v/>
      </c>
      <c r="AW38" s="15">
        <f>SUM($C35:AW35)</f>
        <v/>
      </c>
      <c r="AX38" s="15">
        <f>SUM($C35:AX35)</f>
        <v/>
      </c>
    </row>
    <row r="39">
      <c r="A39" t="inlineStr">
        <is>
          <t>Cumulative net arbitrage — Actual</t>
        </is>
      </c>
      <c r="B39" s="5" t="inlineStr">
        <is>
          <t>$K · auto</t>
        </is>
      </c>
      <c r="C39" s="15">
        <f>SUM($C36:C36)</f>
        <v/>
      </c>
      <c r="D39" s="15">
        <f>SUM($C36:D36)</f>
        <v/>
      </c>
      <c r="E39" s="15">
        <f>SUM($C36:E36)</f>
        <v/>
      </c>
      <c r="F39" s="15">
        <f>SUM($C36:F36)</f>
        <v/>
      </c>
      <c r="G39" s="15">
        <f>SUM($C36:G36)</f>
        <v/>
      </c>
      <c r="H39" s="15">
        <f>SUM($C36:H36)</f>
        <v/>
      </c>
      <c r="I39" s="15">
        <f>SUM($C36:I36)</f>
        <v/>
      </c>
      <c r="J39" s="15">
        <f>SUM($C36:J36)</f>
        <v/>
      </c>
      <c r="K39" s="15">
        <f>SUM($C36:K36)</f>
        <v/>
      </c>
      <c r="L39" s="15">
        <f>SUM($C36:L36)</f>
        <v/>
      </c>
      <c r="M39" s="15">
        <f>SUM($C36:M36)</f>
        <v/>
      </c>
      <c r="N39" s="15">
        <f>SUM($C36:N36)</f>
        <v/>
      </c>
      <c r="O39" s="15">
        <f>SUM($C36:O36)</f>
        <v/>
      </c>
      <c r="P39" s="15">
        <f>SUM($C36:P36)</f>
        <v/>
      </c>
      <c r="Q39" s="15">
        <f>SUM($C36:Q36)</f>
        <v/>
      </c>
      <c r="R39" s="15">
        <f>SUM($C36:R36)</f>
        <v/>
      </c>
      <c r="S39" s="15">
        <f>SUM($C36:S36)</f>
        <v/>
      </c>
      <c r="T39" s="15">
        <f>SUM($C36:T36)</f>
        <v/>
      </c>
      <c r="U39" s="15">
        <f>SUM($C36:U36)</f>
        <v/>
      </c>
      <c r="V39" s="15">
        <f>SUM($C36:V36)</f>
        <v/>
      </c>
      <c r="W39" s="15">
        <f>SUM($C36:W36)</f>
        <v/>
      </c>
      <c r="X39" s="15">
        <f>SUM($C36:X36)</f>
        <v/>
      </c>
      <c r="Y39" s="15">
        <f>SUM($C36:Y36)</f>
        <v/>
      </c>
      <c r="Z39" s="15">
        <f>SUM($C36:Z36)</f>
        <v/>
      </c>
      <c r="AA39" s="15">
        <f>SUM($C36:AA36)</f>
        <v/>
      </c>
      <c r="AB39" s="15">
        <f>SUM($C36:AB36)</f>
        <v/>
      </c>
      <c r="AC39" s="15">
        <f>SUM($C36:AC36)</f>
        <v/>
      </c>
      <c r="AD39" s="15">
        <f>SUM($C36:AD36)</f>
        <v/>
      </c>
      <c r="AE39" s="15">
        <f>SUM($C36:AE36)</f>
        <v/>
      </c>
      <c r="AF39" s="15">
        <f>SUM($C36:AF36)</f>
        <v/>
      </c>
      <c r="AG39" s="15">
        <f>SUM($C36:AG36)</f>
        <v/>
      </c>
      <c r="AH39" s="15">
        <f>SUM($C36:AH36)</f>
        <v/>
      </c>
      <c r="AI39" s="15">
        <f>SUM($C36:AI36)</f>
        <v/>
      </c>
      <c r="AJ39" s="15">
        <f>SUM($C36:AJ36)</f>
        <v/>
      </c>
      <c r="AK39" s="15">
        <f>SUM($C36:AK36)</f>
        <v/>
      </c>
      <c r="AL39" s="15">
        <f>SUM($C36:AL36)</f>
        <v/>
      </c>
      <c r="AM39" s="15">
        <f>SUM($C36:AM36)</f>
        <v/>
      </c>
      <c r="AN39" s="15">
        <f>SUM($C36:AN36)</f>
        <v/>
      </c>
      <c r="AO39" s="15">
        <f>SUM($C36:AO36)</f>
        <v/>
      </c>
      <c r="AP39" s="15">
        <f>SUM($C36:AP36)</f>
        <v/>
      </c>
      <c r="AQ39" s="15">
        <f>SUM($C36:AQ36)</f>
        <v/>
      </c>
      <c r="AR39" s="15">
        <f>SUM($C36:AR36)</f>
        <v/>
      </c>
      <c r="AS39" s="15">
        <f>SUM($C36:AS36)</f>
        <v/>
      </c>
      <c r="AT39" s="15">
        <f>SUM($C36:AT36)</f>
        <v/>
      </c>
      <c r="AU39" s="15">
        <f>SUM($C36:AU36)</f>
        <v/>
      </c>
      <c r="AV39" s="15">
        <f>SUM($C36:AV36)</f>
        <v/>
      </c>
      <c r="AW39" s="15">
        <f>SUM($C36:AW36)</f>
        <v/>
      </c>
      <c r="AX39" s="15">
        <f>SUM($C36:AX36)</f>
        <v/>
      </c>
    </row>
    <row r="40">
      <c r="A40" s="11" t="inlineStr">
        <is>
          <t>E.  STATUS, ATTESTATION &amp; COMMENTARY</t>
        </is>
      </c>
      <c r="B40" s="16" t="inlineStr"/>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row>
    <row r="41">
      <c r="A41" t="inlineStr">
        <is>
          <t>Overall RAG status for month</t>
        </is>
      </c>
      <c r="B41" s="5" t="inlineStr">
        <is>
          <t>G/A/R · org input</t>
        </is>
      </c>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c r="AK41" s="26" t="n"/>
      <c r="AL41" s="26" t="n"/>
      <c r="AM41" s="26" t="n"/>
      <c r="AN41" s="26" t="n"/>
      <c r="AO41" s="26" t="n"/>
      <c r="AP41" s="26" t="n"/>
      <c r="AQ41" s="26" t="n"/>
      <c r="AR41" s="26" t="n"/>
      <c r="AS41" s="26" t="n"/>
      <c r="AT41" s="26" t="n"/>
      <c r="AU41" s="26" t="n"/>
      <c r="AV41" s="26" t="n"/>
      <c r="AW41" s="26" t="n"/>
      <c r="AX41" s="26" t="n"/>
    </row>
    <row r="42">
      <c r="A42" t="inlineStr">
        <is>
          <t>Attest: reductions free of leakage?</t>
        </is>
      </c>
      <c r="B42" s="5" t="inlineStr">
        <is>
          <t>Y/N · org input</t>
        </is>
      </c>
      <c r="C42" s="26" t="n"/>
      <c r="D42" s="26" t="n"/>
      <c r="E42" s="26"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c r="AD42" s="26" t="n"/>
      <c r="AE42" s="26" t="n"/>
      <c r="AF42" s="26" t="n"/>
      <c r="AG42" s="26" t="n"/>
      <c r="AH42" s="26" t="n"/>
      <c r="AI42" s="26" t="n"/>
      <c r="AJ42" s="26" t="n"/>
      <c r="AK42" s="26" t="n"/>
      <c r="AL42" s="26" t="n"/>
      <c r="AM42" s="26" t="n"/>
      <c r="AN42" s="26" t="n"/>
      <c r="AO42" s="26" t="n"/>
      <c r="AP42" s="26" t="n"/>
      <c r="AQ42" s="26" t="n"/>
      <c r="AR42" s="26" t="n"/>
      <c r="AS42" s="26" t="n"/>
      <c r="AT42" s="26" t="n"/>
      <c r="AU42" s="26" t="n"/>
      <c r="AV42" s="26" t="n"/>
      <c r="AW42" s="26" t="n"/>
      <c r="AX42" s="26" t="n"/>
    </row>
    <row r="43">
      <c r="A43" t="inlineStr">
        <is>
          <t>Attested by (org finance partner)</t>
        </is>
      </c>
      <c r="B43" s="5" t="inlineStr">
        <is>
          <t>name · org input</t>
        </is>
      </c>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c r="AD43" s="26" t="n"/>
      <c r="AE43" s="26" t="n"/>
      <c r="AF43" s="26" t="n"/>
      <c r="AG43" s="26" t="n"/>
      <c r="AH43" s="26" t="n"/>
      <c r="AI43" s="26" t="n"/>
      <c r="AJ43" s="26" t="n"/>
      <c r="AK43" s="26" t="n"/>
      <c r="AL43" s="26" t="n"/>
      <c r="AM43" s="26" t="n"/>
      <c r="AN43" s="26" t="n"/>
      <c r="AO43" s="26" t="n"/>
      <c r="AP43" s="26" t="n"/>
      <c r="AQ43" s="26" t="n"/>
      <c r="AR43" s="26" t="n"/>
      <c r="AS43" s="26" t="n"/>
      <c r="AT43" s="26" t="n"/>
      <c r="AU43" s="26" t="n"/>
      <c r="AV43" s="26" t="n"/>
      <c r="AW43" s="26" t="n"/>
      <c r="AX43" s="26" t="n"/>
    </row>
    <row r="44">
      <c r="A44" t="inlineStr">
        <is>
          <t>Commentary (required on material variance)</t>
        </is>
      </c>
      <c r="B44" s="5" t="inlineStr">
        <is>
          <t>text · org input</t>
        </is>
      </c>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c r="AD44" s="26" t="n"/>
      <c r="AE44" s="26" t="n"/>
      <c r="AF44" s="26" t="n"/>
      <c r="AG44" s="26" t="n"/>
      <c r="AH44" s="26" t="n"/>
      <c r="AI44" s="26" t="n"/>
      <c r="AJ44" s="26" t="n"/>
      <c r="AK44" s="26" t="n"/>
      <c r="AL44" s="26" t="n"/>
      <c r="AM44" s="26" t="n"/>
      <c r="AN44" s="26" t="n"/>
      <c r="AO44" s="26" t="n"/>
      <c r="AP44" s="26" t="n"/>
      <c r="AQ44" s="26" t="n"/>
      <c r="AR44" s="26" t="n"/>
      <c r="AS44" s="26" t="n"/>
      <c r="AT44" s="26" t="n"/>
      <c r="AU44" s="26" t="n"/>
      <c r="AV44" s="26" t="n"/>
      <c r="AW44" s="26" t="n"/>
      <c r="AX44" s="26" t="n"/>
    </row>
  </sheetData>
  <dataValidations count="2">
    <dataValidation sqref="C41:AX41" showDropDown="0" showInputMessage="0" showErrorMessage="0" allowBlank="1" type="list">
      <formula1>=Setup!$B$14:$B$16</formula1>
    </dataValidation>
    <dataValidation sqref="C42:AX42" showDropDown="0" showInputMessage="0" showErrorMessage="0" allowBlank="1" type="list">
      <formula1>=Setup!$B$18:$B$19</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4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6" customWidth="1" min="1" max="1"/>
    <col width="20"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10.5" customWidth="1" min="35" max="35"/>
    <col width="10.5" customWidth="1" min="36" max="36"/>
    <col width="10.5" customWidth="1" min="37" max="37"/>
    <col width="10.5" customWidth="1" min="38" max="38"/>
    <col width="10.5" customWidth="1" min="39" max="39"/>
    <col width="10.5" customWidth="1" min="40" max="40"/>
    <col width="10.5" customWidth="1" min="41" max="41"/>
    <col width="10.5" customWidth="1" min="42" max="42"/>
    <col width="10.5" customWidth="1" min="43" max="43"/>
    <col width="10.5" customWidth="1" min="44" max="44"/>
    <col width="10.5" customWidth="1" min="45" max="45"/>
    <col width="10.5" customWidth="1" min="46" max="46"/>
    <col width="10.5" customWidth="1" min="47" max="47"/>
    <col width="10.5" customWidth="1" min="48" max="48"/>
    <col width="10.5" customWidth="1" min="49" max="49"/>
    <col width="10.5" customWidth="1" min="50" max="50"/>
  </cols>
  <sheetData>
    <row r="1">
      <c r="A1" s="4">
        <f>CONCATENATE("ORG: ",Setup!$B$6)</f>
        <v/>
      </c>
    </row>
    <row r="2">
      <c r="A2" s="5" t="inlineStr">
        <is>
          <t>Enter BLUE cells only. GREEN = central fill. GREY = linked target (do not edit). See READ ME + Guiding Principles tabs.</t>
        </is>
      </c>
    </row>
    <row r="4">
      <c r="C4" s="8" t="n">
        <v>2026</v>
      </c>
      <c r="O4" s="8" t="n">
        <v>2027</v>
      </c>
      <c r="AA4" s="8" t="n">
        <v>2028</v>
      </c>
      <c r="AM4" s="8" t="n">
        <v>2029</v>
      </c>
    </row>
    <row r="5">
      <c r="A5" s="9" t="inlineStr">
        <is>
          <t>Metric</t>
        </is>
      </c>
      <c r="B5" s="9" t="inlineStr">
        <is>
          <t>Unit / who fills</t>
        </is>
      </c>
      <c r="C5" s="10" t="n">
        <v>46023</v>
      </c>
      <c r="D5" s="10" t="n">
        <v>46054</v>
      </c>
      <c r="E5" s="10" t="n">
        <v>46082</v>
      </c>
      <c r="F5" s="10" t="n">
        <v>46113</v>
      </c>
      <c r="G5" s="10" t="n">
        <v>46143</v>
      </c>
      <c r="H5" s="10" t="n">
        <v>46174</v>
      </c>
      <c r="I5" s="10" t="n">
        <v>46204</v>
      </c>
      <c r="J5" s="10" t="n">
        <v>46235</v>
      </c>
      <c r="K5" s="10" t="n">
        <v>46266</v>
      </c>
      <c r="L5" s="10" t="n">
        <v>46296</v>
      </c>
      <c r="M5" s="10" t="n">
        <v>46327</v>
      </c>
      <c r="N5" s="10" t="n">
        <v>46357</v>
      </c>
      <c r="O5" s="10" t="n">
        <v>46388</v>
      </c>
      <c r="P5" s="10" t="n">
        <v>46419</v>
      </c>
      <c r="Q5" s="10" t="n">
        <v>46447</v>
      </c>
      <c r="R5" s="10" t="n">
        <v>46478</v>
      </c>
      <c r="S5" s="10" t="n">
        <v>46508</v>
      </c>
      <c r="T5" s="10" t="n">
        <v>46539</v>
      </c>
      <c r="U5" s="10" t="n">
        <v>46569</v>
      </c>
      <c r="V5" s="10" t="n">
        <v>46600</v>
      </c>
      <c r="W5" s="10" t="n">
        <v>46631</v>
      </c>
      <c r="X5" s="10" t="n">
        <v>46661</v>
      </c>
      <c r="Y5" s="10" t="n">
        <v>46692</v>
      </c>
      <c r="Z5" s="10" t="n">
        <v>46722</v>
      </c>
      <c r="AA5" s="10" t="n">
        <v>46753</v>
      </c>
      <c r="AB5" s="10" t="n">
        <v>46784</v>
      </c>
      <c r="AC5" s="10" t="n">
        <v>46813</v>
      </c>
      <c r="AD5" s="10" t="n">
        <v>46844</v>
      </c>
      <c r="AE5" s="10" t="n">
        <v>46874</v>
      </c>
      <c r="AF5" s="10" t="n">
        <v>46905</v>
      </c>
      <c r="AG5" s="10" t="n">
        <v>46935</v>
      </c>
      <c r="AH5" s="10" t="n">
        <v>46966</v>
      </c>
      <c r="AI5" s="10" t="n">
        <v>46997</v>
      </c>
      <c r="AJ5" s="10" t="n">
        <v>47027</v>
      </c>
      <c r="AK5" s="10" t="n">
        <v>47058</v>
      </c>
      <c r="AL5" s="10" t="n">
        <v>47088</v>
      </c>
      <c r="AM5" s="10" t="n">
        <v>47119</v>
      </c>
      <c r="AN5" s="10" t="n">
        <v>47150</v>
      </c>
      <c r="AO5" s="10" t="n">
        <v>47178</v>
      </c>
      <c r="AP5" s="10" t="n">
        <v>47209</v>
      </c>
      <c r="AQ5" s="10" t="n">
        <v>47239</v>
      </c>
      <c r="AR5" s="10" t="n">
        <v>47270</v>
      </c>
      <c r="AS5" s="10" t="n">
        <v>47300</v>
      </c>
      <c r="AT5" s="10" t="n">
        <v>47331</v>
      </c>
      <c r="AU5" s="10" t="n">
        <v>47362</v>
      </c>
      <c r="AV5" s="10" t="n">
        <v>47392</v>
      </c>
      <c r="AW5" s="10" t="n">
        <v>47423</v>
      </c>
      <c r="AX5" s="10" t="n">
        <v>47453</v>
      </c>
    </row>
    <row r="6">
      <c r="A6" s="11" t="inlineStr">
        <is>
          <t>A.  INDIA HIRING</t>
        </is>
      </c>
      <c r="B6" s="16" t="inlineStr"/>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row>
    <row r="7">
      <c r="A7" t="inlineStr">
        <is>
          <t>India hires — Target</t>
        </is>
      </c>
      <c r="B7" s="5" t="inlineStr">
        <is>
          <t>heads · linked</t>
        </is>
      </c>
      <c r="C7" s="17">
        <f>Targets!C26</f>
        <v/>
      </c>
      <c r="D7" s="17">
        <f>Targets!D26</f>
        <v/>
      </c>
      <c r="E7" s="17">
        <f>Targets!E26</f>
        <v/>
      </c>
      <c r="F7" s="17">
        <f>Targets!F26</f>
        <v/>
      </c>
      <c r="G7" s="17">
        <f>Targets!G26</f>
        <v/>
      </c>
      <c r="H7" s="17">
        <f>Targets!H26</f>
        <v/>
      </c>
      <c r="I7" s="17">
        <f>Targets!I26</f>
        <v/>
      </c>
      <c r="J7" s="17">
        <f>Targets!J26</f>
        <v/>
      </c>
      <c r="K7" s="17">
        <f>Targets!K26</f>
        <v/>
      </c>
      <c r="L7" s="17">
        <f>Targets!L26</f>
        <v/>
      </c>
      <c r="M7" s="17">
        <f>Targets!M26</f>
        <v/>
      </c>
      <c r="N7" s="17">
        <f>Targets!N26</f>
        <v/>
      </c>
      <c r="O7" s="17">
        <f>Targets!O26</f>
        <v/>
      </c>
      <c r="P7" s="17">
        <f>Targets!P26</f>
        <v/>
      </c>
      <c r="Q7" s="17">
        <f>Targets!Q26</f>
        <v/>
      </c>
      <c r="R7" s="17">
        <f>Targets!R26</f>
        <v/>
      </c>
      <c r="S7" s="17">
        <f>Targets!S26</f>
        <v/>
      </c>
      <c r="T7" s="17">
        <f>Targets!T26</f>
        <v/>
      </c>
      <c r="U7" s="17">
        <f>Targets!U26</f>
        <v/>
      </c>
      <c r="V7" s="17">
        <f>Targets!V26</f>
        <v/>
      </c>
      <c r="W7" s="17">
        <f>Targets!W26</f>
        <v/>
      </c>
      <c r="X7" s="17">
        <f>Targets!X26</f>
        <v/>
      </c>
      <c r="Y7" s="17">
        <f>Targets!Y26</f>
        <v/>
      </c>
      <c r="Z7" s="17">
        <f>Targets!Z26</f>
        <v/>
      </c>
      <c r="AA7" s="17">
        <f>Targets!AA26</f>
        <v/>
      </c>
      <c r="AB7" s="17">
        <f>Targets!AB26</f>
        <v/>
      </c>
      <c r="AC7" s="17">
        <f>Targets!AC26</f>
        <v/>
      </c>
      <c r="AD7" s="17">
        <f>Targets!AD26</f>
        <v/>
      </c>
      <c r="AE7" s="17">
        <f>Targets!AE26</f>
        <v/>
      </c>
      <c r="AF7" s="17">
        <f>Targets!AF26</f>
        <v/>
      </c>
      <c r="AG7" s="17">
        <f>Targets!AG26</f>
        <v/>
      </c>
      <c r="AH7" s="17">
        <f>Targets!AH26</f>
        <v/>
      </c>
      <c r="AI7" s="17">
        <f>Targets!AI26</f>
        <v/>
      </c>
      <c r="AJ7" s="17">
        <f>Targets!AJ26</f>
        <v/>
      </c>
      <c r="AK7" s="17">
        <f>Targets!AK26</f>
        <v/>
      </c>
      <c r="AL7" s="17">
        <f>Targets!AL26</f>
        <v/>
      </c>
      <c r="AM7" s="17">
        <f>Targets!AM26</f>
        <v/>
      </c>
      <c r="AN7" s="17">
        <f>Targets!AN26</f>
        <v/>
      </c>
      <c r="AO7" s="17">
        <f>Targets!AO26</f>
        <v/>
      </c>
      <c r="AP7" s="17">
        <f>Targets!AP26</f>
        <v/>
      </c>
      <c r="AQ7" s="17">
        <f>Targets!AQ26</f>
        <v/>
      </c>
      <c r="AR7" s="17">
        <f>Targets!AR26</f>
        <v/>
      </c>
      <c r="AS7" s="17">
        <f>Targets!AS26</f>
        <v/>
      </c>
      <c r="AT7" s="17">
        <f>Targets!AT26</f>
        <v/>
      </c>
      <c r="AU7" s="17">
        <f>Targets!AU26</f>
        <v/>
      </c>
      <c r="AV7" s="17">
        <f>Targets!AV26</f>
        <v/>
      </c>
      <c r="AW7" s="17">
        <f>Targets!AW26</f>
        <v/>
      </c>
      <c r="AX7" s="17">
        <f>Targets!AX26</f>
        <v/>
      </c>
    </row>
    <row r="8">
      <c r="A8" t="inlineStr">
        <is>
          <t>India hires — Actual</t>
        </is>
      </c>
      <c r="B8" s="5" t="inlineStr">
        <is>
          <t>heads · central (PlanIt)</t>
        </is>
      </c>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row>
    <row r="9">
      <c r="A9" t="inlineStr">
        <is>
          <t>Cumulative hires — Target</t>
        </is>
      </c>
      <c r="B9" s="5" t="inlineStr">
        <is>
          <t>heads · auto</t>
        </is>
      </c>
      <c r="C9" s="19">
        <f>SUM($C7:C7)</f>
        <v/>
      </c>
      <c r="D9" s="19">
        <f>SUM($C7:D7)</f>
        <v/>
      </c>
      <c r="E9" s="19">
        <f>SUM($C7:E7)</f>
        <v/>
      </c>
      <c r="F9" s="19">
        <f>SUM($C7:F7)</f>
        <v/>
      </c>
      <c r="G9" s="19">
        <f>SUM($C7:G7)</f>
        <v/>
      </c>
      <c r="H9" s="19">
        <f>SUM($C7:H7)</f>
        <v/>
      </c>
      <c r="I9" s="19">
        <f>SUM($C7:I7)</f>
        <v/>
      </c>
      <c r="J9" s="19">
        <f>SUM($C7:J7)</f>
        <v/>
      </c>
      <c r="K9" s="19">
        <f>SUM($C7:K7)</f>
        <v/>
      </c>
      <c r="L9" s="19">
        <f>SUM($C7:L7)</f>
        <v/>
      </c>
      <c r="M9" s="19">
        <f>SUM($C7:M7)</f>
        <v/>
      </c>
      <c r="N9" s="19">
        <f>SUM($C7:N7)</f>
        <v/>
      </c>
      <c r="O9" s="19">
        <f>SUM($C7:O7)</f>
        <v/>
      </c>
      <c r="P9" s="19">
        <f>SUM($C7:P7)</f>
        <v/>
      </c>
      <c r="Q9" s="19">
        <f>SUM($C7:Q7)</f>
        <v/>
      </c>
      <c r="R9" s="19">
        <f>SUM($C7:R7)</f>
        <v/>
      </c>
      <c r="S9" s="19">
        <f>SUM($C7:S7)</f>
        <v/>
      </c>
      <c r="T9" s="19">
        <f>SUM($C7:T7)</f>
        <v/>
      </c>
      <c r="U9" s="19">
        <f>SUM($C7:U7)</f>
        <v/>
      </c>
      <c r="V9" s="19">
        <f>SUM($C7:V7)</f>
        <v/>
      </c>
      <c r="W9" s="19">
        <f>SUM($C7:W7)</f>
        <v/>
      </c>
      <c r="X9" s="19">
        <f>SUM($C7:X7)</f>
        <v/>
      </c>
      <c r="Y9" s="19">
        <f>SUM($C7:Y7)</f>
        <v/>
      </c>
      <c r="Z9" s="19">
        <f>SUM($C7:Z7)</f>
        <v/>
      </c>
      <c r="AA9" s="19">
        <f>SUM($C7:AA7)</f>
        <v/>
      </c>
      <c r="AB9" s="19">
        <f>SUM($C7:AB7)</f>
        <v/>
      </c>
      <c r="AC9" s="19">
        <f>SUM($C7:AC7)</f>
        <v/>
      </c>
      <c r="AD9" s="19">
        <f>SUM($C7:AD7)</f>
        <v/>
      </c>
      <c r="AE9" s="19">
        <f>SUM($C7:AE7)</f>
        <v/>
      </c>
      <c r="AF9" s="19">
        <f>SUM($C7:AF7)</f>
        <v/>
      </c>
      <c r="AG9" s="19">
        <f>SUM($C7:AG7)</f>
        <v/>
      </c>
      <c r="AH9" s="19">
        <f>SUM($C7:AH7)</f>
        <v/>
      </c>
      <c r="AI9" s="19">
        <f>SUM($C7:AI7)</f>
        <v/>
      </c>
      <c r="AJ9" s="19">
        <f>SUM($C7:AJ7)</f>
        <v/>
      </c>
      <c r="AK9" s="19">
        <f>SUM($C7:AK7)</f>
        <v/>
      </c>
      <c r="AL9" s="19">
        <f>SUM($C7:AL7)</f>
        <v/>
      </c>
      <c r="AM9" s="19">
        <f>SUM($C7:AM7)</f>
        <v/>
      </c>
      <c r="AN9" s="19">
        <f>SUM($C7:AN7)</f>
        <v/>
      </c>
      <c r="AO9" s="19">
        <f>SUM($C7:AO7)</f>
        <v/>
      </c>
      <c r="AP9" s="19">
        <f>SUM($C7:AP7)</f>
        <v/>
      </c>
      <c r="AQ9" s="19">
        <f>SUM($C7:AQ7)</f>
        <v/>
      </c>
      <c r="AR9" s="19">
        <f>SUM($C7:AR7)</f>
        <v/>
      </c>
      <c r="AS9" s="19">
        <f>SUM($C7:AS7)</f>
        <v/>
      </c>
      <c r="AT9" s="19">
        <f>SUM($C7:AT7)</f>
        <v/>
      </c>
      <c r="AU9" s="19">
        <f>SUM($C7:AU7)</f>
        <v/>
      </c>
      <c r="AV9" s="19">
        <f>SUM($C7:AV7)</f>
        <v/>
      </c>
      <c r="AW9" s="19">
        <f>SUM($C7:AW7)</f>
        <v/>
      </c>
      <c r="AX9" s="19">
        <f>SUM($C7:AX7)</f>
        <v/>
      </c>
    </row>
    <row r="10">
      <c r="A10" t="inlineStr">
        <is>
          <t>Cumulative hires — Actual</t>
        </is>
      </c>
      <c r="B10" s="5" t="inlineStr">
        <is>
          <t>heads · auto</t>
        </is>
      </c>
      <c r="C10" s="19">
        <f>SUM($C8:C8)</f>
        <v/>
      </c>
      <c r="D10" s="19">
        <f>SUM($C8:D8)</f>
        <v/>
      </c>
      <c r="E10" s="19">
        <f>SUM($C8:E8)</f>
        <v/>
      </c>
      <c r="F10" s="19">
        <f>SUM($C8:F8)</f>
        <v/>
      </c>
      <c r="G10" s="19">
        <f>SUM($C8:G8)</f>
        <v/>
      </c>
      <c r="H10" s="19">
        <f>SUM($C8:H8)</f>
        <v/>
      </c>
      <c r="I10" s="19">
        <f>SUM($C8:I8)</f>
        <v/>
      </c>
      <c r="J10" s="19">
        <f>SUM($C8:J8)</f>
        <v/>
      </c>
      <c r="K10" s="19">
        <f>SUM($C8:K8)</f>
        <v/>
      </c>
      <c r="L10" s="19">
        <f>SUM($C8:L8)</f>
        <v/>
      </c>
      <c r="M10" s="19">
        <f>SUM($C8:M8)</f>
        <v/>
      </c>
      <c r="N10" s="19">
        <f>SUM($C8:N8)</f>
        <v/>
      </c>
      <c r="O10" s="19">
        <f>SUM($C8:O8)</f>
        <v/>
      </c>
      <c r="P10" s="19">
        <f>SUM($C8:P8)</f>
        <v/>
      </c>
      <c r="Q10" s="19">
        <f>SUM($C8:Q8)</f>
        <v/>
      </c>
      <c r="R10" s="19">
        <f>SUM($C8:R8)</f>
        <v/>
      </c>
      <c r="S10" s="19">
        <f>SUM($C8:S8)</f>
        <v/>
      </c>
      <c r="T10" s="19">
        <f>SUM($C8:T8)</f>
        <v/>
      </c>
      <c r="U10" s="19">
        <f>SUM($C8:U8)</f>
        <v/>
      </c>
      <c r="V10" s="19">
        <f>SUM($C8:V8)</f>
        <v/>
      </c>
      <c r="W10" s="19">
        <f>SUM($C8:W8)</f>
        <v/>
      </c>
      <c r="X10" s="19">
        <f>SUM($C8:X8)</f>
        <v/>
      </c>
      <c r="Y10" s="19">
        <f>SUM($C8:Y8)</f>
        <v/>
      </c>
      <c r="Z10" s="19">
        <f>SUM($C8:Z8)</f>
        <v/>
      </c>
      <c r="AA10" s="19">
        <f>SUM($C8:AA8)</f>
        <v/>
      </c>
      <c r="AB10" s="19">
        <f>SUM($C8:AB8)</f>
        <v/>
      </c>
      <c r="AC10" s="19">
        <f>SUM($C8:AC8)</f>
        <v/>
      </c>
      <c r="AD10" s="19">
        <f>SUM($C8:AD8)</f>
        <v/>
      </c>
      <c r="AE10" s="19">
        <f>SUM($C8:AE8)</f>
        <v/>
      </c>
      <c r="AF10" s="19">
        <f>SUM($C8:AF8)</f>
        <v/>
      </c>
      <c r="AG10" s="19">
        <f>SUM($C8:AG8)</f>
        <v/>
      </c>
      <c r="AH10" s="19">
        <f>SUM($C8:AH8)</f>
        <v/>
      </c>
      <c r="AI10" s="19">
        <f>SUM($C8:AI8)</f>
        <v/>
      </c>
      <c r="AJ10" s="19">
        <f>SUM($C8:AJ8)</f>
        <v/>
      </c>
      <c r="AK10" s="19">
        <f>SUM($C8:AK8)</f>
        <v/>
      </c>
      <c r="AL10" s="19">
        <f>SUM($C8:AL8)</f>
        <v/>
      </c>
      <c r="AM10" s="19">
        <f>SUM($C8:AM8)</f>
        <v/>
      </c>
      <c r="AN10" s="19">
        <f>SUM($C8:AN8)</f>
        <v/>
      </c>
      <c r="AO10" s="19">
        <f>SUM($C8:AO8)</f>
        <v/>
      </c>
      <c r="AP10" s="19">
        <f>SUM($C8:AP8)</f>
        <v/>
      </c>
      <c r="AQ10" s="19">
        <f>SUM($C8:AQ8)</f>
        <v/>
      </c>
      <c r="AR10" s="19">
        <f>SUM($C8:AR8)</f>
        <v/>
      </c>
      <c r="AS10" s="19">
        <f>SUM($C8:AS8)</f>
        <v/>
      </c>
      <c r="AT10" s="19">
        <f>SUM($C8:AT8)</f>
        <v/>
      </c>
      <c r="AU10" s="19">
        <f>SUM($C8:AU8)</f>
        <v/>
      </c>
      <c r="AV10" s="19">
        <f>SUM($C8:AV8)</f>
        <v/>
      </c>
      <c r="AW10" s="19">
        <f>SUM($C8:AW8)</f>
        <v/>
      </c>
      <c r="AX10" s="19">
        <f>SUM($C8:AX8)</f>
        <v/>
      </c>
    </row>
    <row r="11">
      <c r="A11" t="inlineStr">
        <is>
          <t>Hires variance (Actual − Target), cumulative</t>
        </is>
      </c>
      <c r="B11" s="5" t="inlineStr">
        <is>
          <t>heads · auto</t>
        </is>
      </c>
      <c r="C11" s="19">
        <f>C10-C9</f>
        <v/>
      </c>
      <c r="D11" s="19">
        <f>D10-D9</f>
        <v/>
      </c>
      <c r="E11" s="19">
        <f>E10-E9</f>
        <v/>
      </c>
      <c r="F11" s="19">
        <f>F10-F9</f>
        <v/>
      </c>
      <c r="G11" s="19">
        <f>G10-G9</f>
        <v/>
      </c>
      <c r="H11" s="19">
        <f>H10-H9</f>
        <v/>
      </c>
      <c r="I11" s="19">
        <f>I10-I9</f>
        <v/>
      </c>
      <c r="J11" s="19">
        <f>J10-J9</f>
        <v/>
      </c>
      <c r="K11" s="19">
        <f>K10-K9</f>
        <v/>
      </c>
      <c r="L11" s="19">
        <f>L10-L9</f>
        <v/>
      </c>
      <c r="M11" s="19">
        <f>M10-M9</f>
        <v/>
      </c>
      <c r="N11" s="19">
        <f>N10-N9</f>
        <v/>
      </c>
      <c r="O11" s="19">
        <f>O10-O9</f>
        <v/>
      </c>
      <c r="P11" s="19">
        <f>P10-P9</f>
        <v/>
      </c>
      <c r="Q11" s="19">
        <f>Q10-Q9</f>
        <v/>
      </c>
      <c r="R11" s="19">
        <f>R10-R9</f>
        <v/>
      </c>
      <c r="S11" s="19">
        <f>S10-S9</f>
        <v/>
      </c>
      <c r="T11" s="19">
        <f>T10-T9</f>
        <v/>
      </c>
      <c r="U11" s="19">
        <f>U10-U9</f>
        <v/>
      </c>
      <c r="V11" s="19">
        <f>V10-V9</f>
        <v/>
      </c>
      <c r="W11" s="19">
        <f>W10-W9</f>
        <v/>
      </c>
      <c r="X11" s="19">
        <f>X10-X9</f>
        <v/>
      </c>
      <c r="Y11" s="19">
        <f>Y10-Y9</f>
        <v/>
      </c>
      <c r="Z11" s="19">
        <f>Z10-Z9</f>
        <v/>
      </c>
      <c r="AA11" s="19">
        <f>AA10-AA9</f>
        <v/>
      </c>
      <c r="AB11" s="19">
        <f>AB10-AB9</f>
        <v/>
      </c>
      <c r="AC11" s="19">
        <f>AC10-AC9</f>
        <v/>
      </c>
      <c r="AD11" s="19">
        <f>AD10-AD9</f>
        <v/>
      </c>
      <c r="AE11" s="19">
        <f>AE10-AE9</f>
        <v/>
      </c>
      <c r="AF11" s="19">
        <f>AF10-AF9</f>
        <v/>
      </c>
      <c r="AG11" s="19">
        <f>AG10-AG9</f>
        <v/>
      </c>
      <c r="AH11" s="19">
        <f>AH10-AH9</f>
        <v/>
      </c>
      <c r="AI11" s="19">
        <f>AI10-AI9</f>
        <v/>
      </c>
      <c r="AJ11" s="19">
        <f>AJ10-AJ9</f>
        <v/>
      </c>
      <c r="AK11" s="19">
        <f>AK10-AK9</f>
        <v/>
      </c>
      <c r="AL11" s="19">
        <f>AL10-AL9</f>
        <v/>
      </c>
      <c r="AM11" s="19">
        <f>AM10-AM9</f>
        <v/>
      </c>
      <c r="AN11" s="19">
        <f>AN10-AN9</f>
        <v/>
      </c>
      <c r="AO11" s="19">
        <f>AO10-AO9</f>
        <v/>
      </c>
      <c r="AP11" s="19">
        <f>AP10-AP9</f>
        <v/>
      </c>
      <c r="AQ11" s="19">
        <f>AQ10-AQ9</f>
        <v/>
      </c>
      <c r="AR11" s="19">
        <f>AR10-AR9</f>
        <v/>
      </c>
      <c r="AS11" s="19">
        <f>AS10-AS9</f>
        <v/>
      </c>
      <c r="AT11" s="19">
        <f>AT10-AT9</f>
        <v/>
      </c>
      <c r="AU11" s="19">
        <f>AU10-AU9</f>
        <v/>
      </c>
      <c r="AV11" s="19">
        <f>AV10-AV9</f>
        <v/>
      </c>
      <c r="AW11" s="19">
        <f>AW10-AW9</f>
        <v/>
      </c>
      <c r="AX11" s="19">
        <f>AX10-AX9</f>
        <v/>
      </c>
    </row>
    <row r="12">
      <c r="A12" t="inlineStr">
        <is>
          <t>Avg India loaded comp — Plan</t>
        </is>
      </c>
      <c r="B12" s="5" t="inlineStr">
        <is>
          <t>$K/yr · central (PlanIt)</t>
        </is>
      </c>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20" t="n"/>
      <c r="AD12" s="20" t="n"/>
      <c r="AE12" s="20" t="n"/>
      <c r="AF12" s="20" t="n"/>
      <c r="AG12" s="20" t="n"/>
      <c r="AH12" s="20" t="n"/>
      <c r="AI12" s="20" t="n"/>
      <c r="AJ12" s="20" t="n"/>
      <c r="AK12" s="20" t="n"/>
      <c r="AL12" s="20" t="n"/>
      <c r="AM12" s="20" t="n"/>
      <c r="AN12" s="20" t="n"/>
      <c r="AO12" s="20" t="n"/>
      <c r="AP12" s="20" t="n"/>
      <c r="AQ12" s="20" t="n"/>
      <c r="AR12" s="20" t="n"/>
      <c r="AS12" s="20" t="n"/>
      <c r="AT12" s="20" t="n"/>
      <c r="AU12" s="20" t="n"/>
      <c r="AV12" s="20" t="n"/>
      <c r="AW12" s="20" t="n"/>
      <c r="AX12" s="20" t="n"/>
    </row>
    <row r="13">
      <c r="A13" t="inlineStr">
        <is>
          <t>Avg India loaded comp — Actual</t>
        </is>
      </c>
      <c r="B13" s="5" t="inlineStr">
        <is>
          <t>$K/yr · central (PlanIt)</t>
        </is>
      </c>
      <c r="C13" s="20"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c r="AA13" s="20" t="n"/>
      <c r="AB13" s="20" t="n"/>
      <c r="AC13" s="20" t="n"/>
      <c r="AD13" s="20" t="n"/>
      <c r="AE13" s="20" t="n"/>
      <c r="AF13" s="20" t="n"/>
      <c r="AG13" s="20" t="n"/>
      <c r="AH13" s="20" t="n"/>
      <c r="AI13" s="20" t="n"/>
      <c r="AJ13" s="20" t="n"/>
      <c r="AK13" s="20" t="n"/>
      <c r="AL13" s="20" t="n"/>
      <c r="AM13" s="20" t="n"/>
      <c r="AN13" s="20" t="n"/>
      <c r="AO13" s="20" t="n"/>
      <c r="AP13" s="20" t="n"/>
      <c r="AQ13" s="20" t="n"/>
      <c r="AR13" s="20" t="n"/>
      <c r="AS13" s="20" t="n"/>
      <c r="AT13" s="20" t="n"/>
      <c r="AU13" s="20" t="n"/>
      <c r="AV13" s="20" t="n"/>
      <c r="AW13" s="20" t="n"/>
      <c r="AX13" s="20" t="n"/>
    </row>
    <row r="14">
      <c r="A14" t="inlineStr">
        <is>
          <t>India attrition in month</t>
        </is>
      </c>
      <c r="B14" s="5" t="inlineStr">
        <is>
          <t>heads · central (HR)</t>
        </is>
      </c>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c r="AA14" s="18" t="n"/>
      <c r="AB14" s="18" t="n"/>
      <c r="AC14" s="18" t="n"/>
      <c r="AD14" s="18" t="n"/>
      <c r="AE14" s="18" t="n"/>
      <c r="AF14" s="18" t="n"/>
      <c r="AG14" s="18" t="n"/>
      <c r="AH14" s="18" t="n"/>
      <c r="AI14" s="18" t="n"/>
      <c r="AJ14" s="18" t="n"/>
      <c r="AK14" s="18" t="n"/>
      <c r="AL14" s="18" t="n"/>
      <c r="AM14" s="18" t="n"/>
      <c r="AN14" s="18" t="n"/>
      <c r="AO14" s="18" t="n"/>
      <c r="AP14" s="18" t="n"/>
      <c r="AQ14" s="18" t="n"/>
      <c r="AR14" s="18" t="n"/>
      <c r="AS14" s="18" t="n"/>
      <c r="AT14" s="18" t="n"/>
      <c r="AU14" s="18" t="n"/>
      <c r="AV14" s="18" t="n"/>
      <c r="AW14" s="18" t="n"/>
      <c r="AX14" s="18" t="n"/>
    </row>
    <row r="15">
      <c r="A15" t="inlineStr">
        <is>
          <t>% of India hires fully productive</t>
        </is>
      </c>
      <c r="B15" s="5" t="inlineStr">
        <is>
          <t>% · org input</t>
        </is>
      </c>
      <c r="C15" s="21" t="n"/>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c r="AA15" s="21" t="n"/>
      <c r="AB15" s="21" t="n"/>
      <c r="AC15" s="21" t="n"/>
      <c r="AD15" s="21" t="n"/>
      <c r="AE15" s="21" t="n"/>
      <c r="AF15" s="21" t="n"/>
      <c r="AG15" s="21" t="n"/>
      <c r="AH15" s="21" t="n"/>
      <c r="AI15" s="21" t="n"/>
      <c r="AJ15" s="21" t="n"/>
      <c r="AK15" s="21" t="n"/>
      <c r="AL15" s="21" t="n"/>
      <c r="AM15" s="21" t="n"/>
      <c r="AN15" s="21" t="n"/>
      <c r="AO15" s="21" t="n"/>
      <c r="AP15" s="21" t="n"/>
      <c r="AQ15" s="21" t="n"/>
      <c r="AR15" s="21" t="n"/>
      <c r="AS15" s="21" t="n"/>
      <c r="AT15" s="21" t="n"/>
      <c r="AU15" s="21" t="n"/>
      <c r="AV15" s="21" t="n"/>
      <c r="AW15" s="21" t="n"/>
      <c r="AX15" s="21" t="n"/>
    </row>
    <row r="16">
      <c r="A16" s="11" t="inlineStr">
        <is>
          <t>B.  GROSS REDUCTIONS REALIZED IN PERIOD</t>
        </is>
      </c>
      <c r="B16" s="16" t="inlineStr"/>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row>
    <row r="17">
      <c r="A17" t="inlineStr">
        <is>
          <t>Professional services — Target</t>
        </is>
      </c>
      <c r="B17" s="5" t="inlineStr">
        <is>
          <t>$K · linked</t>
        </is>
      </c>
      <c r="C17" s="22">
        <f>Targets!C27</f>
        <v/>
      </c>
      <c r="D17" s="22">
        <f>Targets!D27</f>
        <v/>
      </c>
      <c r="E17" s="22">
        <f>Targets!E27</f>
        <v/>
      </c>
      <c r="F17" s="22">
        <f>Targets!F27</f>
        <v/>
      </c>
      <c r="G17" s="22">
        <f>Targets!G27</f>
        <v/>
      </c>
      <c r="H17" s="22">
        <f>Targets!H27</f>
        <v/>
      </c>
      <c r="I17" s="22">
        <f>Targets!I27</f>
        <v/>
      </c>
      <c r="J17" s="22">
        <f>Targets!J27</f>
        <v/>
      </c>
      <c r="K17" s="22">
        <f>Targets!K27</f>
        <v/>
      </c>
      <c r="L17" s="22">
        <f>Targets!L27</f>
        <v/>
      </c>
      <c r="M17" s="22">
        <f>Targets!M27</f>
        <v/>
      </c>
      <c r="N17" s="22">
        <f>Targets!N27</f>
        <v/>
      </c>
      <c r="O17" s="22">
        <f>Targets!O27</f>
        <v/>
      </c>
      <c r="P17" s="22">
        <f>Targets!P27</f>
        <v/>
      </c>
      <c r="Q17" s="22">
        <f>Targets!Q27</f>
        <v/>
      </c>
      <c r="R17" s="22">
        <f>Targets!R27</f>
        <v/>
      </c>
      <c r="S17" s="22">
        <f>Targets!S27</f>
        <v/>
      </c>
      <c r="T17" s="22">
        <f>Targets!T27</f>
        <v/>
      </c>
      <c r="U17" s="22">
        <f>Targets!U27</f>
        <v/>
      </c>
      <c r="V17" s="22">
        <f>Targets!V27</f>
        <v/>
      </c>
      <c r="W17" s="22">
        <f>Targets!W27</f>
        <v/>
      </c>
      <c r="X17" s="22">
        <f>Targets!X27</f>
        <v/>
      </c>
      <c r="Y17" s="22">
        <f>Targets!Y27</f>
        <v/>
      </c>
      <c r="Z17" s="22">
        <f>Targets!Z27</f>
        <v/>
      </c>
      <c r="AA17" s="22">
        <f>Targets!AA27</f>
        <v/>
      </c>
      <c r="AB17" s="22">
        <f>Targets!AB27</f>
        <v/>
      </c>
      <c r="AC17" s="22">
        <f>Targets!AC27</f>
        <v/>
      </c>
      <c r="AD17" s="22">
        <f>Targets!AD27</f>
        <v/>
      </c>
      <c r="AE17" s="22">
        <f>Targets!AE27</f>
        <v/>
      </c>
      <c r="AF17" s="22">
        <f>Targets!AF27</f>
        <v/>
      </c>
      <c r="AG17" s="22">
        <f>Targets!AG27</f>
        <v/>
      </c>
      <c r="AH17" s="22">
        <f>Targets!AH27</f>
        <v/>
      </c>
      <c r="AI17" s="22">
        <f>Targets!AI27</f>
        <v/>
      </c>
      <c r="AJ17" s="22">
        <f>Targets!AJ27</f>
        <v/>
      </c>
      <c r="AK17" s="22">
        <f>Targets!AK27</f>
        <v/>
      </c>
      <c r="AL17" s="22">
        <f>Targets!AL27</f>
        <v/>
      </c>
      <c r="AM17" s="22">
        <f>Targets!AM27</f>
        <v/>
      </c>
      <c r="AN17" s="22">
        <f>Targets!AN27</f>
        <v/>
      </c>
      <c r="AO17" s="22">
        <f>Targets!AO27</f>
        <v/>
      </c>
      <c r="AP17" s="22">
        <f>Targets!AP27</f>
        <v/>
      </c>
      <c r="AQ17" s="22">
        <f>Targets!AQ27</f>
        <v/>
      </c>
      <c r="AR17" s="22">
        <f>Targets!AR27</f>
        <v/>
      </c>
      <c r="AS17" s="22">
        <f>Targets!AS27</f>
        <v/>
      </c>
      <c r="AT17" s="22">
        <f>Targets!AT27</f>
        <v/>
      </c>
      <c r="AU17" s="22">
        <f>Targets!AU27</f>
        <v/>
      </c>
      <c r="AV17" s="22">
        <f>Targets!AV27</f>
        <v/>
      </c>
      <c r="AW17" s="22">
        <f>Targets!AW27</f>
        <v/>
      </c>
      <c r="AX17" s="22">
        <f>Targets!AX27</f>
        <v/>
      </c>
    </row>
    <row r="18">
      <c r="A18" t="inlineStr">
        <is>
          <t>Professional services — Actual</t>
        </is>
      </c>
      <c r="B18" s="5" t="inlineStr">
        <is>
          <t>$K · org input</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row>
    <row r="19">
      <c r="A19" t="inlineStr">
        <is>
          <t>Offshore contractors — Target</t>
        </is>
      </c>
      <c r="B19" s="5" t="inlineStr">
        <is>
          <t>$K · linked</t>
        </is>
      </c>
      <c r="C19" s="22">
        <f>Targets!C28</f>
        <v/>
      </c>
      <c r="D19" s="22">
        <f>Targets!D28</f>
        <v/>
      </c>
      <c r="E19" s="22">
        <f>Targets!E28</f>
        <v/>
      </c>
      <c r="F19" s="22">
        <f>Targets!F28</f>
        <v/>
      </c>
      <c r="G19" s="22">
        <f>Targets!G28</f>
        <v/>
      </c>
      <c r="H19" s="22">
        <f>Targets!H28</f>
        <v/>
      </c>
      <c r="I19" s="22">
        <f>Targets!I28</f>
        <v/>
      </c>
      <c r="J19" s="22">
        <f>Targets!J28</f>
        <v/>
      </c>
      <c r="K19" s="22">
        <f>Targets!K28</f>
        <v/>
      </c>
      <c r="L19" s="22">
        <f>Targets!L28</f>
        <v/>
      </c>
      <c r="M19" s="22">
        <f>Targets!M28</f>
        <v/>
      </c>
      <c r="N19" s="22">
        <f>Targets!N28</f>
        <v/>
      </c>
      <c r="O19" s="22">
        <f>Targets!O28</f>
        <v/>
      </c>
      <c r="P19" s="22">
        <f>Targets!P28</f>
        <v/>
      </c>
      <c r="Q19" s="22">
        <f>Targets!Q28</f>
        <v/>
      </c>
      <c r="R19" s="22">
        <f>Targets!R28</f>
        <v/>
      </c>
      <c r="S19" s="22">
        <f>Targets!S28</f>
        <v/>
      </c>
      <c r="T19" s="22">
        <f>Targets!T28</f>
        <v/>
      </c>
      <c r="U19" s="22">
        <f>Targets!U28</f>
        <v/>
      </c>
      <c r="V19" s="22">
        <f>Targets!V28</f>
        <v/>
      </c>
      <c r="W19" s="22">
        <f>Targets!W28</f>
        <v/>
      </c>
      <c r="X19" s="22">
        <f>Targets!X28</f>
        <v/>
      </c>
      <c r="Y19" s="22">
        <f>Targets!Y28</f>
        <v/>
      </c>
      <c r="Z19" s="22">
        <f>Targets!Z28</f>
        <v/>
      </c>
      <c r="AA19" s="22">
        <f>Targets!AA28</f>
        <v/>
      </c>
      <c r="AB19" s="22">
        <f>Targets!AB28</f>
        <v/>
      </c>
      <c r="AC19" s="22">
        <f>Targets!AC28</f>
        <v/>
      </c>
      <c r="AD19" s="22">
        <f>Targets!AD28</f>
        <v/>
      </c>
      <c r="AE19" s="22">
        <f>Targets!AE28</f>
        <v/>
      </c>
      <c r="AF19" s="22">
        <f>Targets!AF28</f>
        <v/>
      </c>
      <c r="AG19" s="22">
        <f>Targets!AG28</f>
        <v/>
      </c>
      <c r="AH19" s="22">
        <f>Targets!AH28</f>
        <v/>
      </c>
      <c r="AI19" s="22">
        <f>Targets!AI28</f>
        <v/>
      </c>
      <c r="AJ19" s="22">
        <f>Targets!AJ28</f>
        <v/>
      </c>
      <c r="AK19" s="22">
        <f>Targets!AK28</f>
        <v/>
      </c>
      <c r="AL19" s="22">
        <f>Targets!AL28</f>
        <v/>
      </c>
      <c r="AM19" s="22">
        <f>Targets!AM28</f>
        <v/>
      </c>
      <c r="AN19" s="22">
        <f>Targets!AN28</f>
        <v/>
      </c>
      <c r="AO19" s="22">
        <f>Targets!AO28</f>
        <v/>
      </c>
      <c r="AP19" s="22">
        <f>Targets!AP28</f>
        <v/>
      </c>
      <c r="AQ19" s="22">
        <f>Targets!AQ28</f>
        <v/>
      </c>
      <c r="AR19" s="22">
        <f>Targets!AR28</f>
        <v/>
      </c>
      <c r="AS19" s="22">
        <f>Targets!AS28</f>
        <v/>
      </c>
      <c r="AT19" s="22">
        <f>Targets!AT28</f>
        <v/>
      </c>
      <c r="AU19" s="22">
        <f>Targets!AU28</f>
        <v/>
      </c>
      <c r="AV19" s="22">
        <f>Targets!AV28</f>
        <v/>
      </c>
      <c r="AW19" s="22">
        <f>Targets!AW28</f>
        <v/>
      </c>
      <c r="AX19" s="22">
        <f>Targets!AX28</f>
        <v/>
      </c>
    </row>
    <row r="20">
      <c r="A20" t="inlineStr">
        <is>
          <t>Offshore contractors — Actual</t>
        </is>
      </c>
      <c r="B20" s="5" t="inlineStr">
        <is>
          <t>$K · org input</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row>
    <row r="21">
      <c r="A21" t="inlineStr">
        <is>
          <t>Onshore contractors — Target</t>
        </is>
      </c>
      <c r="B21" s="5" t="inlineStr">
        <is>
          <t>$K · linked</t>
        </is>
      </c>
      <c r="C21" s="22">
        <f>Targets!C29</f>
        <v/>
      </c>
      <c r="D21" s="22">
        <f>Targets!D29</f>
        <v/>
      </c>
      <c r="E21" s="22">
        <f>Targets!E29</f>
        <v/>
      </c>
      <c r="F21" s="22">
        <f>Targets!F29</f>
        <v/>
      </c>
      <c r="G21" s="22">
        <f>Targets!G29</f>
        <v/>
      </c>
      <c r="H21" s="22">
        <f>Targets!H29</f>
        <v/>
      </c>
      <c r="I21" s="22">
        <f>Targets!I29</f>
        <v/>
      </c>
      <c r="J21" s="22">
        <f>Targets!J29</f>
        <v/>
      </c>
      <c r="K21" s="22">
        <f>Targets!K29</f>
        <v/>
      </c>
      <c r="L21" s="22">
        <f>Targets!L29</f>
        <v/>
      </c>
      <c r="M21" s="22">
        <f>Targets!M29</f>
        <v/>
      </c>
      <c r="N21" s="22">
        <f>Targets!N29</f>
        <v/>
      </c>
      <c r="O21" s="22">
        <f>Targets!O29</f>
        <v/>
      </c>
      <c r="P21" s="22">
        <f>Targets!P29</f>
        <v/>
      </c>
      <c r="Q21" s="22">
        <f>Targets!Q29</f>
        <v/>
      </c>
      <c r="R21" s="22">
        <f>Targets!R29</f>
        <v/>
      </c>
      <c r="S21" s="22">
        <f>Targets!S29</f>
        <v/>
      </c>
      <c r="T21" s="22">
        <f>Targets!T29</f>
        <v/>
      </c>
      <c r="U21" s="22">
        <f>Targets!U29</f>
        <v/>
      </c>
      <c r="V21" s="22">
        <f>Targets!V29</f>
        <v/>
      </c>
      <c r="W21" s="22">
        <f>Targets!W29</f>
        <v/>
      </c>
      <c r="X21" s="22">
        <f>Targets!X29</f>
        <v/>
      </c>
      <c r="Y21" s="22">
        <f>Targets!Y29</f>
        <v/>
      </c>
      <c r="Z21" s="22">
        <f>Targets!Z29</f>
        <v/>
      </c>
      <c r="AA21" s="22">
        <f>Targets!AA29</f>
        <v/>
      </c>
      <c r="AB21" s="22">
        <f>Targets!AB29</f>
        <v/>
      </c>
      <c r="AC21" s="22">
        <f>Targets!AC29</f>
        <v/>
      </c>
      <c r="AD21" s="22">
        <f>Targets!AD29</f>
        <v/>
      </c>
      <c r="AE21" s="22">
        <f>Targets!AE29</f>
        <v/>
      </c>
      <c r="AF21" s="22">
        <f>Targets!AF29</f>
        <v/>
      </c>
      <c r="AG21" s="22">
        <f>Targets!AG29</f>
        <v/>
      </c>
      <c r="AH21" s="22">
        <f>Targets!AH29</f>
        <v/>
      </c>
      <c r="AI21" s="22">
        <f>Targets!AI29</f>
        <v/>
      </c>
      <c r="AJ21" s="22">
        <f>Targets!AJ29</f>
        <v/>
      </c>
      <c r="AK21" s="22">
        <f>Targets!AK29</f>
        <v/>
      </c>
      <c r="AL21" s="22">
        <f>Targets!AL29</f>
        <v/>
      </c>
      <c r="AM21" s="22">
        <f>Targets!AM29</f>
        <v/>
      </c>
      <c r="AN21" s="22">
        <f>Targets!AN29</f>
        <v/>
      </c>
      <c r="AO21" s="22">
        <f>Targets!AO29</f>
        <v/>
      </c>
      <c r="AP21" s="22">
        <f>Targets!AP29</f>
        <v/>
      </c>
      <c r="AQ21" s="22">
        <f>Targets!AQ29</f>
        <v/>
      </c>
      <c r="AR21" s="22">
        <f>Targets!AR29</f>
        <v/>
      </c>
      <c r="AS21" s="22">
        <f>Targets!AS29</f>
        <v/>
      </c>
      <c r="AT21" s="22">
        <f>Targets!AT29</f>
        <v/>
      </c>
      <c r="AU21" s="22">
        <f>Targets!AU29</f>
        <v/>
      </c>
      <c r="AV21" s="22">
        <f>Targets!AV29</f>
        <v/>
      </c>
      <c r="AW21" s="22">
        <f>Targets!AW29</f>
        <v/>
      </c>
      <c r="AX21" s="22">
        <f>Targets!AX29</f>
        <v/>
      </c>
    </row>
    <row r="22">
      <c r="A22" t="inlineStr">
        <is>
          <t>Onshore contractors — Actual</t>
        </is>
      </c>
      <c r="B22" s="5" t="inlineStr">
        <is>
          <t>$K · org input</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row>
    <row r="23">
      <c r="A23" t="inlineStr">
        <is>
          <t>Employees / Other — Target</t>
        </is>
      </c>
      <c r="B23" s="5" t="inlineStr">
        <is>
          <t>$K · linked</t>
        </is>
      </c>
      <c r="C23" s="22">
        <f>Targets!C30</f>
        <v/>
      </c>
      <c r="D23" s="22">
        <f>Targets!D30</f>
        <v/>
      </c>
      <c r="E23" s="22">
        <f>Targets!E30</f>
        <v/>
      </c>
      <c r="F23" s="22">
        <f>Targets!F30</f>
        <v/>
      </c>
      <c r="G23" s="22">
        <f>Targets!G30</f>
        <v/>
      </c>
      <c r="H23" s="22">
        <f>Targets!H30</f>
        <v/>
      </c>
      <c r="I23" s="22">
        <f>Targets!I30</f>
        <v/>
      </c>
      <c r="J23" s="22">
        <f>Targets!J30</f>
        <v/>
      </c>
      <c r="K23" s="22">
        <f>Targets!K30</f>
        <v/>
      </c>
      <c r="L23" s="22">
        <f>Targets!L30</f>
        <v/>
      </c>
      <c r="M23" s="22">
        <f>Targets!M30</f>
        <v/>
      </c>
      <c r="N23" s="22">
        <f>Targets!N30</f>
        <v/>
      </c>
      <c r="O23" s="22">
        <f>Targets!O30</f>
        <v/>
      </c>
      <c r="P23" s="22">
        <f>Targets!P30</f>
        <v/>
      </c>
      <c r="Q23" s="22">
        <f>Targets!Q30</f>
        <v/>
      </c>
      <c r="R23" s="22">
        <f>Targets!R30</f>
        <v/>
      </c>
      <c r="S23" s="22">
        <f>Targets!S30</f>
        <v/>
      </c>
      <c r="T23" s="22">
        <f>Targets!T30</f>
        <v/>
      </c>
      <c r="U23" s="22">
        <f>Targets!U30</f>
        <v/>
      </c>
      <c r="V23" s="22">
        <f>Targets!V30</f>
        <v/>
      </c>
      <c r="W23" s="22">
        <f>Targets!W30</f>
        <v/>
      </c>
      <c r="X23" s="22">
        <f>Targets!X30</f>
        <v/>
      </c>
      <c r="Y23" s="22">
        <f>Targets!Y30</f>
        <v/>
      </c>
      <c r="Z23" s="22">
        <f>Targets!Z30</f>
        <v/>
      </c>
      <c r="AA23" s="22">
        <f>Targets!AA30</f>
        <v/>
      </c>
      <c r="AB23" s="22">
        <f>Targets!AB30</f>
        <v/>
      </c>
      <c r="AC23" s="22">
        <f>Targets!AC30</f>
        <v/>
      </c>
      <c r="AD23" s="22">
        <f>Targets!AD30</f>
        <v/>
      </c>
      <c r="AE23" s="22">
        <f>Targets!AE30</f>
        <v/>
      </c>
      <c r="AF23" s="22">
        <f>Targets!AF30</f>
        <v/>
      </c>
      <c r="AG23" s="22">
        <f>Targets!AG30</f>
        <v/>
      </c>
      <c r="AH23" s="22">
        <f>Targets!AH30</f>
        <v/>
      </c>
      <c r="AI23" s="22">
        <f>Targets!AI30</f>
        <v/>
      </c>
      <c r="AJ23" s="22">
        <f>Targets!AJ30</f>
        <v/>
      </c>
      <c r="AK23" s="22">
        <f>Targets!AK30</f>
        <v/>
      </c>
      <c r="AL23" s="22">
        <f>Targets!AL30</f>
        <v/>
      </c>
      <c r="AM23" s="22">
        <f>Targets!AM30</f>
        <v/>
      </c>
      <c r="AN23" s="22">
        <f>Targets!AN30</f>
        <v/>
      </c>
      <c r="AO23" s="22">
        <f>Targets!AO30</f>
        <v/>
      </c>
      <c r="AP23" s="22">
        <f>Targets!AP30</f>
        <v/>
      </c>
      <c r="AQ23" s="22">
        <f>Targets!AQ30</f>
        <v/>
      </c>
      <c r="AR23" s="22">
        <f>Targets!AR30</f>
        <v/>
      </c>
      <c r="AS23" s="22">
        <f>Targets!AS30</f>
        <v/>
      </c>
      <c r="AT23" s="22">
        <f>Targets!AT30</f>
        <v/>
      </c>
      <c r="AU23" s="22">
        <f>Targets!AU30</f>
        <v/>
      </c>
      <c r="AV23" s="22">
        <f>Targets!AV30</f>
        <v/>
      </c>
      <c r="AW23" s="22">
        <f>Targets!AW30</f>
        <v/>
      </c>
      <c r="AX23" s="22">
        <f>Targets!AX30</f>
        <v/>
      </c>
    </row>
    <row r="24">
      <c r="A24" t="inlineStr">
        <is>
          <t>Employees / Other — Actual</t>
        </is>
      </c>
      <c r="B24" s="5" t="inlineStr">
        <is>
          <t>$K · org input</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row>
    <row r="25">
      <c r="A25" t="inlineStr">
        <is>
          <t>Total gross reductions — Target</t>
        </is>
      </c>
      <c r="B25" s="5" t="inlineStr">
        <is>
          <t>$K · auto</t>
        </is>
      </c>
      <c r="C25" s="15">
        <f>C17+C19+C21+C23</f>
        <v/>
      </c>
      <c r="D25" s="15">
        <f>D17+D19+D21+D23</f>
        <v/>
      </c>
      <c r="E25" s="15">
        <f>E17+E19+E21+E23</f>
        <v/>
      </c>
      <c r="F25" s="15">
        <f>F17+F19+F21+F23</f>
        <v/>
      </c>
      <c r="G25" s="15">
        <f>G17+G19+G21+G23</f>
        <v/>
      </c>
      <c r="H25" s="15">
        <f>H17+H19+H21+H23</f>
        <v/>
      </c>
      <c r="I25" s="15">
        <f>I17+I19+I21+I23</f>
        <v/>
      </c>
      <c r="J25" s="15">
        <f>J17+J19+J21+J23</f>
        <v/>
      </c>
      <c r="K25" s="15">
        <f>K17+K19+K21+K23</f>
        <v/>
      </c>
      <c r="L25" s="15">
        <f>L17+L19+L21+L23</f>
        <v/>
      </c>
      <c r="M25" s="15">
        <f>M17+M19+M21+M23</f>
        <v/>
      </c>
      <c r="N25" s="15">
        <f>N17+N19+N21+N23</f>
        <v/>
      </c>
      <c r="O25" s="15">
        <f>O17+O19+O21+O23</f>
        <v/>
      </c>
      <c r="P25" s="15">
        <f>P17+P19+P21+P23</f>
        <v/>
      </c>
      <c r="Q25" s="15">
        <f>Q17+Q19+Q21+Q23</f>
        <v/>
      </c>
      <c r="R25" s="15">
        <f>R17+R19+R21+R23</f>
        <v/>
      </c>
      <c r="S25" s="15">
        <f>S17+S19+S21+S23</f>
        <v/>
      </c>
      <c r="T25" s="15">
        <f>T17+T19+T21+T23</f>
        <v/>
      </c>
      <c r="U25" s="15">
        <f>U17+U19+U21+U23</f>
        <v/>
      </c>
      <c r="V25" s="15">
        <f>V17+V19+V21+V23</f>
        <v/>
      </c>
      <c r="W25" s="15">
        <f>W17+W19+W21+W23</f>
        <v/>
      </c>
      <c r="X25" s="15">
        <f>X17+X19+X21+X23</f>
        <v/>
      </c>
      <c r="Y25" s="15">
        <f>Y17+Y19+Y21+Y23</f>
        <v/>
      </c>
      <c r="Z25" s="15">
        <f>Z17+Z19+Z21+Z23</f>
        <v/>
      </c>
      <c r="AA25" s="15">
        <f>AA17+AA19+AA21+AA23</f>
        <v/>
      </c>
      <c r="AB25" s="15">
        <f>AB17+AB19+AB21+AB23</f>
        <v/>
      </c>
      <c r="AC25" s="15">
        <f>AC17+AC19+AC21+AC23</f>
        <v/>
      </c>
      <c r="AD25" s="15">
        <f>AD17+AD19+AD21+AD23</f>
        <v/>
      </c>
      <c r="AE25" s="15">
        <f>AE17+AE19+AE21+AE23</f>
        <v/>
      </c>
      <c r="AF25" s="15">
        <f>AF17+AF19+AF21+AF23</f>
        <v/>
      </c>
      <c r="AG25" s="15">
        <f>AG17+AG19+AG21+AG23</f>
        <v/>
      </c>
      <c r="AH25" s="15">
        <f>AH17+AH19+AH21+AH23</f>
        <v/>
      </c>
      <c r="AI25" s="15">
        <f>AI17+AI19+AI21+AI23</f>
        <v/>
      </c>
      <c r="AJ25" s="15">
        <f>AJ17+AJ19+AJ21+AJ23</f>
        <v/>
      </c>
      <c r="AK25" s="15">
        <f>AK17+AK19+AK21+AK23</f>
        <v/>
      </c>
      <c r="AL25" s="15">
        <f>AL17+AL19+AL21+AL23</f>
        <v/>
      </c>
      <c r="AM25" s="15">
        <f>AM17+AM19+AM21+AM23</f>
        <v/>
      </c>
      <c r="AN25" s="15">
        <f>AN17+AN19+AN21+AN23</f>
        <v/>
      </c>
      <c r="AO25" s="15">
        <f>AO17+AO19+AO21+AO23</f>
        <v/>
      </c>
      <c r="AP25" s="15">
        <f>AP17+AP19+AP21+AP23</f>
        <v/>
      </c>
      <c r="AQ25" s="15">
        <f>AQ17+AQ19+AQ21+AQ23</f>
        <v/>
      </c>
      <c r="AR25" s="15">
        <f>AR17+AR19+AR21+AR23</f>
        <v/>
      </c>
      <c r="AS25" s="15">
        <f>AS17+AS19+AS21+AS23</f>
        <v/>
      </c>
      <c r="AT25" s="15">
        <f>AT17+AT19+AT21+AT23</f>
        <v/>
      </c>
      <c r="AU25" s="15">
        <f>AU17+AU19+AU21+AU23</f>
        <v/>
      </c>
      <c r="AV25" s="15">
        <f>AV17+AV19+AV21+AV23</f>
        <v/>
      </c>
      <c r="AW25" s="15">
        <f>AW17+AW19+AW21+AW23</f>
        <v/>
      </c>
      <c r="AX25" s="15">
        <f>AX17+AX19+AX21+AX23</f>
        <v/>
      </c>
    </row>
    <row r="26">
      <c r="A26" t="inlineStr">
        <is>
          <t>Total gross reductions — Actual</t>
        </is>
      </c>
      <c r="B26" s="5" t="inlineStr">
        <is>
          <t>$K · auto</t>
        </is>
      </c>
      <c r="C26" s="15">
        <f>C18+C20+C22+C24</f>
        <v/>
      </c>
      <c r="D26" s="15">
        <f>D18+D20+D22+D24</f>
        <v/>
      </c>
      <c r="E26" s="15">
        <f>E18+E20+E22+E24</f>
        <v/>
      </c>
      <c r="F26" s="15">
        <f>F18+F20+F22+F24</f>
        <v/>
      </c>
      <c r="G26" s="15">
        <f>G18+G20+G22+G24</f>
        <v/>
      </c>
      <c r="H26" s="15">
        <f>H18+H20+H22+H24</f>
        <v/>
      </c>
      <c r="I26" s="15">
        <f>I18+I20+I22+I24</f>
        <v/>
      </c>
      <c r="J26" s="15">
        <f>J18+J20+J22+J24</f>
        <v/>
      </c>
      <c r="K26" s="15">
        <f>K18+K20+K22+K24</f>
        <v/>
      </c>
      <c r="L26" s="15">
        <f>L18+L20+L22+L24</f>
        <v/>
      </c>
      <c r="M26" s="15">
        <f>M18+M20+M22+M24</f>
        <v/>
      </c>
      <c r="N26" s="15">
        <f>N18+N20+N22+N24</f>
        <v/>
      </c>
      <c r="O26" s="15">
        <f>O18+O20+O22+O24</f>
        <v/>
      </c>
      <c r="P26" s="15">
        <f>P18+P20+P22+P24</f>
        <v/>
      </c>
      <c r="Q26" s="15">
        <f>Q18+Q20+Q22+Q24</f>
        <v/>
      </c>
      <c r="R26" s="15">
        <f>R18+R20+R22+R24</f>
        <v/>
      </c>
      <c r="S26" s="15">
        <f>S18+S20+S22+S24</f>
        <v/>
      </c>
      <c r="T26" s="15">
        <f>T18+T20+T22+T24</f>
        <v/>
      </c>
      <c r="U26" s="15">
        <f>U18+U20+U22+U24</f>
        <v/>
      </c>
      <c r="V26" s="15">
        <f>V18+V20+V22+V24</f>
        <v/>
      </c>
      <c r="W26" s="15">
        <f>W18+W20+W22+W24</f>
        <v/>
      </c>
      <c r="X26" s="15">
        <f>X18+X20+X22+X24</f>
        <v/>
      </c>
      <c r="Y26" s="15">
        <f>Y18+Y20+Y22+Y24</f>
        <v/>
      </c>
      <c r="Z26" s="15">
        <f>Z18+Z20+Z22+Z24</f>
        <v/>
      </c>
      <c r="AA26" s="15">
        <f>AA18+AA20+AA22+AA24</f>
        <v/>
      </c>
      <c r="AB26" s="15">
        <f>AB18+AB20+AB22+AB24</f>
        <v/>
      </c>
      <c r="AC26" s="15">
        <f>AC18+AC20+AC22+AC24</f>
        <v/>
      </c>
      <c r="AD26" s="15">
        <f>AD18+AD20+AD22+AD24</f>
        <v/>
      </c>
      <c r="AE26" s="15">
        <f>AE18+AE20+AE22+AE24</f>
        <v/>
      </c>
      <c r="AF26" s="15">
        <f>AF18+AF20+AF22+AF24</f>
        <v/>
      </c>
      <c r="AG26" s="15">
        <f>AG18+AG20+AG22+AG24</f>
        <v/>
      </c>
      <c r="AH26" s="15">
        <f>AH18+AH20+AH22+AH24</f>
        <v/>
      </c>
      <c r="AI26" s="15">
        <f>AI18+AI20+AI22+AI24</f>
        <v/>
      </c>
      <c r="AJ26" s="15">
        <f>AJ18+AJ20+AJ22+AJ24</f>
        <v/>
      </c>
      <c r="AK26" s="15">
        <f>AK18+AK20+AK22+AK24</f>
        <v/>
      </c>
      <c r="AL26" s="15">
        <f>AL18+AL20+AL22+AL24</f>
        <v/>
      </c>
      <c r="AM26" s="15">
        <f>AM18+AM20+AM22+AM24</f>
        <v/>
      </c>
      <c r="AN26" s="15">
        <f>AN18+AN20+AN22+AN24</f>
        <v/>
      </c>
      <c r="AO26" s="15">
        <f>AO18+AO20+AO22+AO24</f>
        <v/>
      </c>
      <c r="AP26" s="15">
        <f>AP18+AP20+AP22+AP24</f>
        <v/>
      </c>
      <c r="AQ26" s="15">
        <f>AQ18+AQ20+AQ22+AQ24</f>
        <v/>
      </c>
      <c r="AR26" s="15">
        <f>AR18+AR20+AR22+AR24</f>
        <v/>
      </c>
      <c r="AS26" s="15">
        <f>AS18+AS20+AS22+AS24</f>
        <v/>
      </c>
      <c r="AT26" s="15">
        <f>AT18+AT20+AT22+AT24</f>
        <v/>
      </c>
      <c r="AU26" s="15">
        <f>AU18+AU20+AU22+AU24</f>
        <v/>
      </c>
      <c r="AV26" s="15">
        <f>AV18+AV20+AV22+AV24</f>
        <v/>
      </c>
      <c r="AW26" s="15">
        <f>AW18+AW20+AW22+AW24</f>
        <v/>
      </c>
      <c r="AX26" s="15">
        <f>AX18+AX20+AX22+AX24</f>
        <v/>
      </c>
    </row>
    <row r="27">
      <c r="A27" t="inlineStr">
        <is>
          <t>Gross reductions variance</t>
        </is>
      </c>
      <c r="B27" s="5" t="inlineStr">
        <is>
          <t>$K · auto</t>
        </is>
      </c>
      <c r="C27" s="24">
        <f>C26-C25</f>
        <v/>
      </c>
      <c r="D27" s="24">
        <f>D26-D25</f>
        <v/>
      </c>
      <c r="E27" s="24">
        <f>E26-E25</f>
        <v/>
      </c>
      <c r="F27" s="24">
        <f>F26-F25</f>
        <v/>
      </c>
      <c r="G27" s="24">
        <f>G26-G25</f>
        <v/>
      </c>
      <c r="H27" s="24">
        <f>H26-H25</f>
        <v/>
      </c>
      <c r="I27" s="24">
        <f>I26-I25</f>
        <v/>
      </c>
      <c r="J27" s="24">
        <f>J26-J25</f>
        <v/>
      </c>
      <c r="K27" s="24">
        <f>K26-K25</f>
        <v/>
      </c>
      <c r="L27" s="24">
        <f>L26-L25</f>
        <v/>
      </c>
      <c r="M27" s="24">
        <f>M26-M25</f>
        <v/>
      </c>
      <c r="N27" s="24">
        <f>N26-N25</f>
        <v/>
      </c>
      <c r="O27" s="24">
        <f>O26-O25</f>
        <v/>
      </c>
      <c r="P27" s="24">
        <f>P26-P25</f>
        <v/>
      </c>
      <c r="Q27" s="24">
        <f>Q26-Q25</f>
        <v/>
      </c>
      <c r="R27" s="24">
        <f>R26-R25</f>
        <v/>
      </c>
      <c r="S27" s="24">
        <f>S26-S25</f>
        <v/>
      </c>
      <c r="T27" s="24">
        <f>T26-T25</f>
        <v/>
      </c>
      <c r="U27" s="24">
        <f>U26-U25</f>
        <v/>
      </c>
      <c r="V27" s="24">
        <f>V26-V25</f>
        <v/>
      </c>
      <c r="W27" s="24">
        <f>W26-W25</f>
        <v/>
      </c>
      <c r="X27" s="24">
        <f>X26-X25</f>
        <v/>
      </c>
      <c r="Y27" s="24">
        <f>Y26-Y25</f>
        <v/>
      </c>
      <c r="Z27" s="24">
        <f>Z26-Z25</f>
        <v/>
      </c>
      <c r="AA27" s="24">
        <f>AA26-AA25</f>
        <v/>
      </c>
      <c r="AB27" s="24">
        <f>AB26-AB25</f>
        <v/>
      </c>
      <c r="AC27" s="24">
        <f>AC26-AC25</f>
        <v/>
      </c>
      <c r="AD27" s="24">
        <f>AD26-AD25</f>
        <v/>
      </c>
      <c r="AE27" s="24">
        <f>AE26-AE25</f>
        <v/>
      </c>
      <c r="AF27" s="24">
        <f>AF26-AF25</f>
        <v/>
      </c>
      <c r="AG27" s="24">
        <f>AG26-AG25</f>
        <v/>
      </c>
      <c r="AH27" s="24">
        <f>AH26-AH25</f>
        <v/>
      </c>
      <c r="AI27" s="24">
        <f>AI26-AI25</f>
        <v/>
      </c>
      <c r="AJ27" s="24">
        <f>AJ26-AJ25</f>
        <v/>
      </c>
      <c r="AK27" s="24">
        <f>AK26-AK25</f>
        <v/>
      </c>
      <c r="AL27" s="24">
        <f>AL26-AL25</f>
        <v/>
      </c>
      <c r="AM27" s="24">
        <f>AM26-AM25</f>
        <v/>
      </c>
      <c r="AN27" s="24">
        <f>AN26-AN25</f>
        <v/>
      </c>
      <c r="AO27" s="24">
        <f>AO26-AO25</f>
        <v/>
      </c>
      <c r="AP27" s="24">
        <f>AP26-AP25</f>
        <v/>
      </c>
      <c r="AQ27" s="24">
        <f>AQ26-AQ25</f>
        <v/>
      </c>
      <c r="AR27" s="24">
        <f>AR26-AR25</f>
        <v/>
      </c>
      <c r="AS27" s="24">
        <f>AS26-AS25</f>
        <v/>
      </c>
      <c r="AT27" s="24">
        <f>AT26-AT25</f>
        <v/>
      </c>
      <c r="AU27" s="24">
        <f>AU26-AU25</f>
        <v/>
      </c>
      <c r="AV27" s="24">
        <f>AV26-AV25</f>
        <v/>
      </c>
      <c r="AW27" s="24">
        <f>AW26-AW25</f>
        <v/>
      </c>
      <c r="AX27" s="24">
        <f>AX26-AX25</f>
        <v/>
      </c>
    </row>
    <row r="28">
      <c r="A28" t="inlineStr">
        <is>
          <t>Headcount reduced in month — Actual</t>
        </is>
      </c>
      <c r="B28" s="5" t="inlineStr">
        <is>
          <t>heads · org input</t>
        </is>
      </c>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c r="Z28" s="25" t="n"/>
      <c r="AA28" s="25" t="n"/>
      <c r="AB28" s="25" t="n"/>
      <c r="AC28" s="25" t="n"/>
      <c r="AD28" s="25" t="n"/>
      <c r="AE28" s="25" t="n"/>
      <c r="AF28" s="25" t="n"/>
      <c r="AG28" s="25" t="n"/>
      <c r="AH28" s="25" t="n"/>
      <c r="AI28" s="25" t="n"/>
      <c r="AJ28" s="25" t="n"/>
      <c r="AK28" s="25" t="n"/>
      <c r="AL28" s="25" t="n"/>
      <c r="AM28" s="25" t="n"/>
      <c r="AN28" s="25" t="n"/>
      <c r="AO28" s="25" t="n"/>
      <c r="AP28" s="25" t="n"/>
      <c r="AQ28" s="25" t="n"/>
      <c r="AR28" s="25" t="n"/>
      <c r="AS28" s="25" t="n"/>
      <c r="AT28" s="25" t="n"/>
      <c r="AU28" s="25" t="n"/>
      <c r="AV28" s="25" t="n"/>
      <c r="AW28" s="25" t="n"/>
      <c r="AX28" s="25" t="n"/>
    </row>
    <row r="29">
      <c r="A29" t="inlineStr">
        <is>
          <t>Exit run-rate of reductions (annualized)</t>
        </is>
      </c>
      <c r="B29" s="5" t="inlineStr">
        <is>
          <t>$K · org input</t>
        </is>
      </c>
      <c r="C29" s="23" t="n"/>
      <c r="D29" s="23" t="n"/>
      <c r="E29" s="23" t="n"/>
      <c r="F29" s="23" t="n"/>
      <c r="G29" s="23" t="n"/>
      <c r="H29" s="23" t="n"/>
      <c r="I29" s="23" t="n"/>
      <c r="J29" s="23" t="n"/>
      <c r="K29" s="23" t="n"/>
      <c r="L29" s="23" t="n"/>
      <c r="M29" s="23" t="n"/>
      <c r="N29" s="23" t="n"/>
      <c r="O29" s="23" t="n"/>
      <c r="P29" s="23" t="n"/>
      <c r="Q29" s="23" t="n"/>
      <c r="R29" s="23" t="n"/>
      <c r="S29" s="23" t="n"/>
      <c r="T29" s="23" t="n"/>
      <c r="U29" s="23" t="n"/>
      <c r="V29" s="23" t="n"/>
      <c r="W29" s="23" t="n"/>
      <c r="X29" s="23" t="n"/>
      <c r="Y29" s="23" t="n"/>
      <c r="Z29" s="23" t="n"/>
      <c r="AA29" s="23" t="n"/>
      <c r="AB29" s="23" t="n"/>
      <c r="AC29" s="23" t="n"/>
      <c r="AD29" s="23" t="n"/>
      <c r="AE29" s="23" t="n"/>
      <c r="AF29" s="23" t="n"/>
      <c r="AG29" s="23" t="n"/>
      <c r="AH29" s="23" t="n"/>
      <c r="AI29" s="23" t="n"/>
      <c r="AJ29" s="23" t="n"/>
      <c r="AK29" s="23" t="n"/>
      <c r="AL29" s="23" t="n"/>
      <c r="AM29" s="23" t="n"/>
      <c r="AN29" s="23" t="n"/>
      <c r="AO29" s="23" t="n"/>
      <c r="AP29" s="23" t="n"/>
      <c r="AQ29" s="23" t="n"/>
      <c r="AR29" s="23" t="n"/>
      <c r="AS29" s="23" t="n"/>
      <c r="AT29" s="23" t="n"/>
      <c r="AU29" s="23" t="n"/>
      <c r="AV29" s="23" t="n"/>
      <c r="AW29" s="23" t="n"/>
      <c r="AX29" s="23" t="n"/>
    </row>
    <row r="30">
      <c r="A30" s="11" t="inlineStr">
        <is>
          <t>C.  INDIA COST ADDS</t>
        </is>
      </c>
      <c r="B30" s="16" t="inlineStr"/>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row>
    <row r="31">
      <c r="A31" t="inlineStr">
        <is>
          <t>India loaded cost adds — Target</t>
        </is>
      </c>
      <c r="B31" s="5" t="inlineStr">
        <is>
          <t>$K · linked</t>
        </is>
      </c>
      <c r="C31" s="22">
        <f>Targets!C31</f>
        <v/>
      </c>
      <c r="D31" s="22">
        <f>Targets!D31</f>
        <v/>
      </c>
      <c r="E31" s="22">
        <f>Targets!E31</f>
        <v/>
      </c>
      <c r="F31" s="22">
        <f>Targets!F31</f>
        <v/>
      </c>
      <c r="G31" s="22">
        <f>Targets!G31</f>
        <v/>
      </c>
      <c r="H31" s="22">
        <f>Targets!H31</f>
        <v/>
      </c>
      <c r="I31" s="22">
        <f>Targets!I31</f>
        <v/>
      </c>
      <c r="J31" s="22">
        <f>Targets!J31</f>
        <v/>
      </c>
      <c r="K31" s="22">
        <f>Targets!K31</f>
        <v/>
      </c>
      <c r="L31" s="22">
        <f>Targets!L31</f>
        <v/>
      </c>
      <c r="M31" s="22">
        <f>Targets!M31</f>
        <v/>
      </c>
      <c r="N31" s="22">
        <f>Targets!N31</f>
        <v/>
      </c>
      <c r="O31" s="22">
        <f>Targets!O31</f>
        <v/>
      </c>
      <c r="P31" s="22">
        <f>Targets!P31</f>
        <v/>
      </c>
      <c r="Q31" s="22">
        <f>Targets!Q31</f>
        <v/>
      </c>
      <c r="R31" s="22">
        <f>Targets!R31</f>
        <v/>
      </c>
      <c r="S31" s="22">
        <f>Targets!S31</f>
        <v/>
      </c>
      <c r="T31" s="22">
        <f>Targets!T31</f>
        <v/>
      </c>
      <c r="U31" s="22">
        <f>Targets!U31</f>
        <v/>
      </c>
      <c r="V31" s="22">
        <f>Targets!V31</f>
        <v/>
      </c>
      <c r="W31" s="22">
        <f>Targets!W31</f>
        <v/>
      </c>
      <c r="X31" s="22">
        <f>Targets!X31</f>
        <v/>
      </c>
      <c r="Y31" s="22">
        <f>Targets!Y31</f>
        <v/>
      </c>
      <c r="Z31" s="22">
        <f>Targets!Z31</f>
        <v/>
      </c>
      <c r="AA31" s="22">
        <f>Targets!AA31</f>
        <v/>
      </c>
      <c r="AB31" s="22">
        <f>Targets!AB31</f>
        <v/>
      </c>
      <c r="AC31" s="22">
        <f>Targets!AC31</f>
        <v/>
      </c>
      <c r="AD31" s="22">
        <f>Targets!AD31</f>
        <v/>
      </c>
      <c r="AE31" s="22">
        <f>Targets!AE31</f>
        <v/>
      </c>
      <c r="AF31" s="22">
        <f>Targets!AF31</f>
        <v/>
      </c>
      <c r="AG31" s="22">
        <f>Targets!AG31</f>
        <v/>
      </c>
      <c r="AH31" s="22">
        <f>Targets!AH31</f>
        <v/>
      </c>
      <c r="AI31" s="22">
        <f>Targets!AI31</f>
        <v/>
      </c>
      <c r="AJ31" s="22">
        <f>Targets!AJ31</f>
        <v/>
      </c>
      <c r="AK31" s="22">
        <f>Targets!AK31</f>
        <v/>
      </c>
      <c r="AL31" s="22">
        <f>Targets!AL31</f>
        <v/>
      </c>
      <c r="AM31" s="22">
        <f>Targets!AM31</f>
        <v/>
      </c>
      <c r="AN31" s="22">
        <f>Targets!AN31</f>
        <v/>
      </c>
      <c r="AO31" s="22">
        <f>Targets!AO31</f>
        <v/>
      </c>
      <c r="AP31" s="22">
        <f>Targets!AP31</f>
        <v/>
      </c>
      <c r="AQ31" s="22">
        <f>Targets!AQ31</f>
        <v/>
      </c>
      <c r="AR31" s="22">
        <f>Targets!AR31</f>
        <v/>
      </c>
      <c r="AS31" s="22">
        <f>Targets!AS31</f>
        <v/>
      </c>
      <c r="AT31" s="22">
        <f>Targets!AT31</f>
        <v/>
      </c>
      <c r="AU31" s="22">
        <f>Targets!AU31</f>
        <v/>
      </c>
      <c r="AV31" s="22">
        <f>Targets!AV31</f>
        <v/>
      </c>
      <c r="AW31" s="22">
        <f>Targets!AW31</f>
        <v/>
      </c>
      <c r="AX31" s="22">
        <f>Targets!AX31</f>
        <v/>
      </c>
    </row>
    <row r="32">
      <c r="A32" t="inlineStr">
        <is>
          <t>India loaded cost adds — Actual</t>
        </is>
      </c>
      <c r="B32" s="5" t="inlineStr">
        <is>
          <t>$K · org input</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row>
    <row r="33">
      <c r="A33" t="inlineStr">
        <is>
          <t>One-time transition costs (memo — never net)</t>
        </is>
      </c>
      <c r="B33" s="5" t="inlineStr">
        <is>
          <t>$K · org input</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row>
    <row r="34">
      <c r="A34" s="11" t="inlineStr">
        <is>
          <t>D.  NET LABOR ARBITRAGE  (B − C)</t>
        </is>
      </c>
      <c r="B34" s="16" t="inlineStr"/>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row>
    <row r="35">
      <c r="A35" t="inlineStr">
        <is>
          <t>Net labor arbitrage — Target</t>
        </is>
      </c>
      <c r="B35" s="5" t="inlineStr">
        <is>
          <t>$K · linked</t>
        </is>
      </c>
      <c r="C35" s="22">
        <f>Targets!C32</f>
        <v/>
      </c>
      <c r="D35" s="22">
        <f>Targets!D32</f>
        <v/>
      </c>
      <c r="E35" s="22">
        <f>Targets!E32</f>
        <v/>
      </c>
      <c r="F35" s="22">
        <f>Targets!F32</f>
        <v/>
      </c>
      <c r="G35" s="22">
        <f>Targets!G32</f>
        <v/>
      </c>
      <c r="H35" s="22">
        <f>Targets!H32</f>
        <v/>
      </c>
      <c r="I35" s="22">
        <f>Targets!I32</f>
        <v/>
      </c>
      <c r="J35" s="22">
        <f>Targets!J32</f>
        <v/>
      </c>
      <c r="K35" s="22">
        <f>Targets!K32</f>
        <v/>
      </c>
      <c r="L35" s="22">
        <f>Targets!L32</f>
        <v/>
      </c>
      <c r="M35" s="22">
        <f>Targets!M32</f>
        <v/>
      </c>
      <c r="N35" s="22">
        <f>Targets!N32</f>
        <v/>
      </c>
      <c r="O35" s="22">
        <f>Targets!O32</f>
        <v/>
      </c>
      <c r="P35" s="22">
        <f>Targets!P32</f>
        <v/>
      </c>
      <c r="Q35" s="22">
        <f>Targets!Q32</f>
        <v/>
      </c>
      <c r="R35" s="22">
        <f>Targets!R32</f>
        <v/>
      </c>
      <c r="S35" s="22">
        <f>Targets!S32</f>
        <v/>
      </c>
      <c r="T35" s="22">
        <f>Targets!T32</f>
        <v/>
      </c>
      <c r="U35" s="22">
        <f>Targets!U32</f>
        <v/>
      </c>
      <c r="V35" s="22">
        <f>Targets!V32</f>
        <v/>
      </c>
      <c r="W35" s="22">
        <f>Targets!W32</f>
        <v/>
      </c>
      <c r="X35" s="22">
        <f>Targets!X32</f>
        <v/>
      </c>
      <c r="Y35" s="22">
        <f>Targets!Y32</f>
        <v/>
      </c>
      <c r="Z35" s="22">
        <f>Targets!Z32</f>
        <v/>
      </c>
      <c r="AA35" s="22">
        <f>Targets!AA32</f>
        <v/>
      </c>
      <c r="AB35" s="22">
        <f>Targets!AB32</f>
        <v/>
      </c>
      <c r="AC35" s="22">
        <f>Targets!AC32</f>
        <v/>
      </c>
      <c r="AD35" s="22">
        <f>Targets!AD32</f>
        <v/>
      </c>
      <c r="AE35" s="22">
        <f>Targets!AE32</f>
        <v/>
      </c>
      <c r="AF35" s="22">
        <f>Targets!AF32</f>
        <v/>
      </c>
      <c r="AG35" s="22">
        <f>Targets!AG32</f>
        <v/>
      </c>
      <c r="AH35" s="22">
        <f>Targets!AH32</f>
        <v/>
      </c>
      <c r="AI35" s="22">
        <f>Targets!AI32</f>
        <v/>
      </c>
      <c r="AJ35" s="22">
        <f>Targets!AJ32</f>
        <v/>
      </c>
      <c r="AK35" s="22">
        <f>Targets!AK32</f>
        <v/>
      </c>
      <c r="AL35" s="22">
        <f>Targets!AL32</f>
        <v/>
      </c>
      <c r="AM35" s="22">
        <f>Targets!AM32</f>
        <v/>
      </c>
      <c r="AN35" s="22">
        <f>Targets!AN32</f>
        <v/>
      </c>
      <c r="AO35" s="22">
        <f>Targets!AO32</f>
        <v/>
      </c>
      <c r="AP35" s="22">
        <f>Targets!AP32</f>
        <v/>
      </c>
      <c r="AQ35" s="22">
        <f>Targets!AQ32</f>
        <v/>
      </c>
      <c r="AR35" s="22">
        <f>Targets!AR32</f>
        <v/>
      </c>
      <c r="AS35" s="22">
        <f>Targets!AS32</f>
        <v/>
      </c>
      <c r="AT35" s="22">
        <f>Targets!AT32</f>
        <v/>
      </c>
      <c r="AU35" s="22">
        <f>Targets!AU32</f>
        <v/>
      </c>
      <c r="AV35" s="22">
        <f>Targets!AV32</f>
        <v/>
      </c>
      <c r="AW35" s="22">
        <f>Targets!AW32</f>
        <v/>
      </c>
      <c r="AX35" s="22">
        <f>Targets!AX32</f>
        <v/>
      </c>
    </row>
    <row r="36">
      <c r="A36" t="inlineStr">
        <is>
          <t>Net labor arbitrage — Actual</t>
        </is>
      </c>
      <c r="B36" s="5" t="inlineStr">
        <is>
          <t>$K · auto</t>
        </is>
      </c>
      <c r="C36" s="15">
        <f>C26-C32</f>
        <v/>
      </c>
      <c r="D36" s="15">
        <f>D26-D32</f>
        <v/>
      </c>
      <c r="E36" s="15">
        <f>E26-E32</f>
        <v/>
      </c>
      <c r="F36" s="15">
        <f>F26-F32</f>
        <v/>
      </c>
      <c r="G36" s="15">
        <f>G26-G32</f>
        <v/>
      </c>
      <c r="H36" s="15">
        <f>H26-H32</f>
        <v/>
      </c>
      <c r="I36" s="15">
        <f>I26-I32</f>
        <v/>
      </c>
      <c r="J36" s="15">
        <f>J26-J32</f>
        <v/>
      </c>
      <c r="K36" s="15">
        <f>K26-K32</f>
        <v/>
      </c>
      <c r="L36" s="15">
        <f>L26-L32</f>
        <v/>
      </c>
      <c r="M36" s="15">
        <f>M26-M32</f>
        <v/>
      </c>
      <c r="N36" s="15">
        <f>N26-N32</f>
        <v/>
      </c>
      <c r="O36" s="15">
        <f>O26-O32</f>
        <v/>
      </c>
      <c r="P36" s="15">
        <f>P26-P32</f>
        <v/>
      </c>
      <c r="Q36" s="15">
        <f>Q26-Q32</f>
        <v/>
      </c>
      <c r="R36" s="15">
        <f>R26-R32</f>
        <v/>
      </c>
      <c r="S36" s="15">
        <f>S26-S32</f>
        <v/>
      </c>
      <c r="T36" s="15">
        <f>T26-T32</f>
        <v/>
      </c>
      <c r="U36" s="15">
        <f>U26-U32</f>
        <v/>
      </c>
      <c r="V36" s="15">
        <f>V26-V32</f>
        <v/>
      </c>
      <c r="W36" s="15">
        <f>W26-W32</f>
        <v/>
      </c>
      <c r="X36" s="15">
        <f>X26-X32</f>
        <v/>
      </c>
      <c r="Y36" s="15">
        <f>Y26-Y32</f>
        <v/>
      </c>
      <c r="Z36" s="15">
        <f>Z26-Z32</f>
        <v/>
      </c>
      <c r="AA36" s="15">
        <f>AA26-AA32</f>
        <v/>
      </c>
      <c r="AB36" s="15">
        <f>AB26-AB32</f>
        <v/>
      </c>
      <c r="AC36" s="15">
        <f>AC26-AC32</f>
        <v/>
      </c>
      <c r="AD36" s="15">
        <f>AD26-AD32</f>
        <v/>
      </c>
      <c r="AE36" s="15">
        <f>AE26-AE32</f>
        <v/>
      </c>
      <c r="AF36" s="15">
        <f>AF26-AF32</f>
        <v/>
      </c>
      <c r="AG36" s="15">
        <f>AG26-AG32</f>
        <v/>
      </c>
      <c r="AH36" s="15">
        <f>AH26-AH32</f>
        <v/>
      </c>
      <c r="AI36" s="15">
        <f>AI26-AI32</f>
        <v/>
      </c>
      <c r="AJ36" s="15">
        <f>AJ26-AJ32</f>
        <v/>
      </c>
      <c r="AK36" s="15">
        <f>AK26-AK32</f>
        <v/>
      </c>
      <c r="AL36" s="15">
        <f>AL26-AL32</f>
        <v/>
      </c>
      <c r="AM36" s="15">
        <f>AM26-AM32</f>
        <v/>
      </c>
      <c r="AN36" s="15">
        <f>AN26-AN32</f>
        <v/>
      </c>
      <c r="AO36" s="15">
        <f>AO26-AO32</f>
        <v/>
      </c>
      <c r="AP36" s="15">
        <f>AP26-AP32</f>
        <v/>
      </c>
      <c r="AQ36" s="15">
        <f>AQ26-AQ32</f>
        <v/>
      </c>
      <c r="AR36" s="15">
        <f>AR26-AR32</f>
        <v/>
      </c>
      <c r="AS36" s="15">
        <f>AS26-AS32</f>
        <v/>
      </c>
      <c r="AT36" s="15">
        <f>AT26-AT32</f>
        <v/>
      </c>
      <c r="AU36" s="15">
        <f>AU26-AU32</f>
        <v/>
      </c>
      <c r="AV36" s="15">
        <f>AV26-AV32</f>
        <v/>
      </c>
      <c r="AW36" s="15">
        <f>AW26-AW32</f>
        <v/>
      </c>
      <c r="AX36" s="15">
        <f>AX26-AX32</f>
        <v/>
      </c>
    </row>
    <row r="37">
      <c r="A37" t="inlineStr">
        <is>
          <t>Net variance (Actual − Target)</t>
        </is>
      </c>
      <c r="B37" s="5" t="inlineStr">
        <is>
          <t>$K · auto</t>
        </is>
      </c>
      <c r="C37" s="15">
        <f>C36-C35</f>
        <v/>
      </c>
      <c r="D37" s="15">
        <f>D36-D35</f>
        <v/>
      </c>
      <c r="E37" s="15">
        <f>E36-E35</f>
        <v/>
      </c>
      <c r="F37" s="15">
        <f>F36-F35</f>
        <v/>
      </c>
      <c r="G37" s="15">
        <f>G36-G35</f>
        <v/>
      </c>
      <c r="H37" s="15">
        <f>H36-H35</f>
        <v/>
      </c>
      <c r="I37" s="15">
        <f>I36-I35</f>
        <v/>
      </c>
      <c r="J37" s="15">
        <f>J36-J35</f>
        <v/>
      </c>
      <c r="K37" s="15">
        <f>K36-K35</f>
        <v/>
      </c>
      <c r="L37" s="15">
        <f>L36-L35</f>
        <v/>
      </c>
      <c r="M37" s="15">
        <f>M36-M35</f>
        <v/>
      </c>
      <c r="N37" s="15">
        <f>N36-N35</f>
        <v/>
      </c>
      <c r="O37" s="15">
        <f>O36-O35</f>
        <v/>
      </c>
      <c r="P37" s="15">
        <f>P36-P35</f>
        <v/>
      </c>
      <c r="Q37" s="15">
        <f>Q36-Q35</f>
        <v/>
      </c>
      <c r="R37" s="15">
        <f>R36-R35</f>
        <v/>
      </c>
      <c r="S37" s="15">
        <f>S36-S35</f>
        <v/>
      </c>
      <c r="T37" s="15">
        <f>T36-T35</f>
        <v/>
      </c>
      <c r="U37" s="15">
        <f>U36-U35</f>
        <v/>
      </c>
      <c r="V37" s="15">
        <f>V36-V35</f>
        <v/>
      </c>
      <c r="W37" s="15">
        <f>W36-W35</f>
        <v/>
      </c>
      <c r="X37" s="15">
        <f>X36-X35</f>
        <v/>
      </c>
      <c r="Y37" s="15">
        <f>Y36-Y35</f>
        <v/>
      </c>
      <c r="Z37" s="15">
        <f>Z36-Z35</f>
        <v/>
      </c>
      <c r="AA37" s="15">
        <f>AA36-AA35</f>
        <v/>
      </c>
      <c r="AB37" s="15">
        <f>AB36-AB35</f>
        <v/>
      </c>
      <c r="AC37" s="15">
        <f>AC36-AC35</f>
        <v/>
      </c>
      <c r="AD37" s="15">
        <f>AD36-AD35</f>
        <v/>
      </c>
      <c r="AE37" s="15">
        <f>AE36-AE35</f>
        <v/>
      </c>
      <c r="AF37" s="15">
        <f>AF36-AF35</f>
        <v/>
      </c>
      <c r="AG37" s="15">
        <f>AG36-AG35</f>
        <v/>
      </c>
      <c r="AH37" s="15">
        <f>AH36-AH35</f>
        <v/>
      </c>
      <c r="AI37" s="15">
        <f>AI36-AI35</f>
        <v/>
      </c>
      <c r="AJ37" s="15">
        <f>AJ36-AJ35</f>
        <v/>
      </c>
      <c r="AK37" s="15">
        <f>AK36-AK35</f>
        <v/>
      </c>
      <c r="AL37" s="15">
        <f>AL36-AL35</f>
        <v/>
      </c>
      <c r="AM37" s="15">
        <f>AM36-AM35</f>
        <v/>
      </c>
      <c r="AN37" s="15">
        <f>AN36-AN35</f>
        <v/>
      </c>
      <c r="AO37" s="15">
        <f>AO36-AO35</f>
        <v/>
      </c>
      <c r="AP37" s="15">
        <f>AP36-AP35</f>
        <v/>
      </c>
      <c r="AQ37" s="15">
        <f>AQ36-AQ35</f>
        <v/>
      </c>
      <c r="AR37" s="15">
        <f>AR36-AR35</f>
        <v/>
      </c>
      <c r="AS37" s="15">
        <f>AS36-AS35</f>
        <v/>
      </c>
      <c r="AT37" s="15">
        <f>AT36-AT35</f>
        <v/>
      </c>
      <c r="AU37" s="15">
        <f>AU36-AU35</f>
        <v/>
      </c>
      <c r="AV37" s="15">
        <f>AV36-AV35</f>
        <v/>
      </c>
      <c r="AW37" s="15">
        <f>AW36-AW35</f>
        <v/>
      </c>
      <c r="AX37" s="15">
        <f>AX36-AX35</f>
        <v/>
      </c>
    </row>
    <row r="38">
      <c r="A38" t="inlineStr">
        <is>
          <t>Cumulative net arbitrage — Target</t>
        </is>
      </c>
      <c r="B38" s="5" t="inlineStr">
        <is>
          <t>$K · auto</t>
        </is>
      </c>
      <c r="C38" s="15">
        <f>SUM($C35:C35)</f>
        <v/>
      </c>
      <c r="D38" s="15">
        <f>SUM($C35:D35)</f>
        <v/>
      </c>
      <c r="E38" s="15">
        <f>SUM($C35:E35)</f>
        <v/>
      </c>
      <c r="F38" s="15">
        <f>SUM($C35:F35)</f>
        <v/>
      </c>
      <c r="G38" s="15">
        <f>SUM($C35:G35)</f>
        <v/>
      </c>
      <c r="H38" s="15">
        <f>SUM($C35:H35)</f>
        <v/>
      </c>
      <c r="I38" s="15">
        <f>SUM($C35:I35)</f>
        <v/>
      </c>
      <c r="J38" s="15">
        <f>SUM($C35:J35)</f>
        <v/>
      </c>
      <c r="K38" s="15">
        <f>SUM($C35:K35)</f>
        <v/>
      </c>
      <c r="L38" s="15">
        <f>SUM($C35:L35)</f>
        <v/>
      </c>
      <c r="M38" s="15">
        <f>SUM($C35:M35)</f>
        <v/>
      </c>
      <c r="N38" s="15">
        <f>SUM($C35:N35)</f>
        <v/>
      </c>
      <c r="O38" s="15">
        <f>SUM($C35:O35)</f>
        <v/>
      </c>
      <c r="P38" s="15">
        <f>SUM($C35:P35)</f>
        <v/>
      </c>
      <c r="Q38" s="15">
        <f>SUM($C35:Q35)</f>
        <v/>
      </c>
      <c r="R38" s="15">
        <f>SUM($C35:R35)</f>
        <v/>
      </c>
      <c r="S38" s="15">
        <f>SUM($C35:S35)</f>
        <v/>
      </c>
      <c r="T38" s="15">
        <f>SUM($C35:T35)</f>
        <v/>
      </c>
      <c r="U38" s="15">
        <f>SUM($C35:U35)</f>
        <v/>
      </c>
      <c r="V38" s="15">
        <f>SUM($C35:V35)</f>
        <v/>
      </c>
      <c r="W38" s="15">
        <f>SUM($C35:W35)</f>
        <v/>
      </c>
      <c r="X38" s="15">
        <f>SUM($C35:X35)</f>
        <v/>
      </c>
      <c r="Y38" s="15">
        <f>SUM($C35:Y35)</f>
        <v/>
      </c>
      <c r="Z38" s="15">
        <f>SUM($C35:Z35)</f>
        <v/>
      </c>
      <c r="AA38" s="15">
        <f>SUM($C35:AA35)</f>
        <v/>
      </c>
      <c r="AB38" s="15">
        <f>SUM($C35:AB35)</f>
        <v/>
      </c>
      <c r="AC38" s="15">
        <f>SUM($C35:AC35)</f>
        <v/>
      </c>
      <c r="AD38" s="15">
        <f>SUM($C35:AD35)</f>
        <v/>
      </c>
      <c r="AE38" s="15">
        <f>SUM($C35:AE35)</f>
        <v/>
      </c>
      <c r="AF38" s="15">
        <f>SUM($C35:AF35)</f>
        <v/>
      </c>
      <c r="AG38" s="15">
        <f>SUM($C35:AG35)</f>
        <v/>
      </c>
      <c r="AH38" s="15">
        <f>SUM($C35:AH35)</f>
        <v/>
      </c>
      <c r="AI38" s="15">
        <f>SUM($C35:AI35)</f>
        <v/>
      </c>
      <c r="AJ38" s="15">
        <f>SUM($C35:AJ35)</f>
        <v/>
      </c>
      <c r="AK38" s="15">
        <f>SUM($C35:AK35)</f>
        <v/>
      </c>
      <c r="AL38" s="15">
        <f>SUM($C35:AL35)</f>
        <v/>
      </c>
      <c r="AM38" s="15">
        <f>SUM($C35:AM35)</f>
        <v/>
      </c>
      <c r="AN38" s="15">
        <f>SUM($C35:AN35)</f>
        <v/>
      </c>
      <c r="AO38" s="15">
        <f>SUM($C35:AO35)</f>
        <v/>
      </c>
      <c r="AP38" s="15">
        <f>SUM($C35:AP35)</f>
        <v/>
      </c>
      <c r="AQ38" s="15">
        <f>SUM($C35:AQ35)</f>
        <v/>
      </c>
      <c r="AR38" s="15">
        <f>SUM($C35:AR35)</f>
        <v/>
      </c>
      <c r="AS38" s="15">
        <f>SUM($C35:AS35)</f>
        <v/>
      </c>
      <c r="AT38" s="15">
        <f>SUM($C35:AT35)</f>
        <v/>
      </c>
      <c r="AU38" s="15">
        <f>SUM($C35:AU35)</f>
        <v/>
      </c>
      <c r="AV38" s="15">
        <f>SUM($C35:AV35)</f>
        <v/>
      </c>
      <c r="AW38" s="15">
        <f>SUM($C35:AW35)</f>
        <v/>
      </c>
      <c r="AX38" s="15">
        <f>SUM($C35:AX35)</f>
        <v/>
      </c>
    </row>
    <row r="39">
      <c r="A39" t="inlineStr">
        <is>
          <t>Cumulative net arbitrage — Actual</t>
        </is>
      </c>
      <c r="B39" s="5" t="inlineStr">
        <is>
          <t>$K · auto</t>
        </is>
      </c>
      <c r="C39" s="15">
        <f>SUM($C36:C36)</f>
        <v/>
      </c>
      <c r="D39" s="15">
        <f>SUM($C36:D36)</f>
        <v/>
      </c>
      <c r="E39" s="15">
        <f>SUM($C36:E36)</f>
        <v/>
      </c>
      <c r="F39" s="15">
        <f>SUM($C36:F36)</f>
        <v/>
      </c>
      <c r="G39" s="15">
        <f>SUM($C36:G36)</f>
        <v/>
      </c>
      <c r="H39" s="15">
        <f>SUM($C36:H36)</f>
        <v/>
      </c>
      <c r="I39" s="15">
        <f>SUM($C36:I36)</f>
        <v/>
      </c>
      <c r="J39" s="15">
        <f>SUM($C36:J36)</f>
        <v/>
      </c>
      <c r="K39" s="15">
        <f>SUM($C36:K36)</f>
        <v/>
      </c>
      <c r="L39" s="15">
        <f>SUM($C36:L36)</f>
        <v/>
      </c>
      <c r="M39" s="15">
        <f>SUM($C36:M36)</f>
        <v/>
      </c>
      <c r="N39" s="15">
        <f>SUM($C36:N36)</f>
        <v/>
      </c>
      <c r="O39" s="15">
        <f>SUM($C36:O36)</f>
        <v/>
      </c>
      <c r="P39" s="15">
        <f>SUM($C36:P36)</f>
        <v/>
      </c>
      <c r="Q39" s="15">
        <f>SUM($C36:Q36)</f>
        <v/>
      </c>
      <c r="R39" s="15">
        <f>SUM($C36:R36)</f>
        <v/>
      </c>
      <c r="S39" s="15">
        <f>SUM($C36:S36)</f>
        <v/>
      </c>
      <c r="T39" s="15">
        <f>SUM($C36:T36)</f>
        <v/>
      </c>
      <c r="U39" s="15">
        <f>SUM($C36:U36)</f>
        <v/>
      </c>
      <c r="V39" s="15">
        <f>SUM($C36:V36)</f>
        <v/>
      </c>
      <c r="W39" s="15">
        <f>SUM($C36:W36)</f>
        <v/>
      </c>
      <c r="X39" s="15">
        <f>SUM($C36:X36)</f>
        <v/>
      </c>
      <c r="Y39" s="15">
        <f>SUM($C36:Y36)</f>
        <v/>
      </c>
      <c r="Z39" s="15">
        <f>SUM($C36:Z36)</f>
        <v/>
      </c>
      <c r="AA39" s="15">
        <f>SUM($C36:AA36)</f>
        <v/>
      </c>
      <c r="AB39" s="15">
        <f>SUM($C36:AB36)</f>
        <v/>
      </c>
      <c r="AC39" s="15">
        <f>SUM($C36:AC36)</f>
        <v/>
      </c>
      <c r="AD39" s="15">
        <f>SUM($C36:AD36)</f>
        <v/>
      </c>
      <c r="AE39" s="15">
        <f>SUM($C36:AE36)</f>
        <v/>
      </c>
      <c r="AF39" s="15">
        <f>SUM($C36:AF36)</f>
        <v/>
      </c>
      <c r="AG39" s="15">
        <f>SUM($C36:AG36)</f>
        <v/>
      </c>
      <c r="AH39" s="15">
        <f>SUM($C36:AH36)</f>
        <v/>
      </c>
      <c r="AI39" s="15">
        <f>SUM($C36:AI36)</f>
        <v/>
      </c>
      <c r="AJ39" s="15">
        <f>SUM($C36:AJ36)</f>
        <v/>
      </c>
      <c r="AK39" s="15">
        <f>SUM($C36:AK36)</f>
        <v/>
      </c>
      <c r="AL39" s="15">
        <f>SUM($C36:AL36)</f>
        <v/>
      </c>
      <c r="AM39" s="15">
        <f>SUM($C36:AM36)</f>
        <v/>
      </c>
      <c r="AN39" s="15">
        <f>SUM($C36:AN36)</f>
        <v/>
      </c>
      <c r="AO39" s="15">
        <f>SUM($C36:AO36)</f>
        <v/>
      </c>
      <c r="AP39" s="15">
        <f>SUM($C36:AP36)</f>
        <v/>
      </c>
      <c r="AQ39" s="15">
        <f>SUM($C36:AQ36)</f>
        <v/>
      </c>
      <c r="AR39" s="15">
        <f>SUM($C36:AR36)</f>
        <v/>
      </c>
      <c r="AS39" s="15">
        <f>SUM($C36:AS36)</f>
        <v/>
      </c>
      <c r="AT39" s="15">
        <f>SUM($C36:AT36)</f>
        <v/>
      </c>
      <c r="AU39" s="15">
        <f>SUM($C36:AU36)</f>
        <v/>
      </c>
      <c r="AV39" s="15">
        <f>SUM($C36:AV36)</f>
        <v/>
      </c>
      <c r="AW39" s="15">
        <f>SUM($C36:AW36)</f>
        <v/>
      </c>
      <c r="AX39" s="15">
        <f>SUM($C36:AX36)</f>
        <v/>
      </c>
    </row>
    <row r="40">
      <c r="A40" s="11" t="inlineStr">
        <is>
          <t>E.  STATUS, ATTESTATION &amp; COMMENTARY</t>
        </is>
      </c>
      <c r="B40" s="16" t="inlineStr"/>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row>
    <row r="41">
      <c r="A41" t="inlineStr">
        <is>
          <t>Overall RAG status for month</t>
        </is>
      </c>
      <c r="B41" s="5" t="inlineStr">
        <is>
          <t>G/A/R · org input</t>
        </is>
      </c>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c r="AK41" s="26" t="n"/>
      <c r="AL41" s="26" t="n"/>
      <c r="AM41" s="26" t="n"/>
      <c r="AN41" s="26" t="n"/>
      <c r="AO41" s="26" t="n"/>
      <c r="AP41" s="26" t="n"/>
      <c r="AQ41" s="26" t="n"/>
      <c r="AR41" s="26" t="n"/>
      <c r="AS41" s="26" t="n"/>
      <c r="AT41" s="26" t="n"/>
      <c r="AU41" s="26" t="n"/>
      <c r="AV41" s="26" t="n"/>
      <c r="AW41" s="26" t="n"/>
      <c r="AX41" s="26" t="n"/>
    </row>
    <row r="42">
      <c r="A42" t="inlineStr">
        <is>
          <t>Attest: reductions free of leakage?</t>
        </is>
      </c>
      <c r="B42" s="5" t="inlineStr">
        <is>
          <t>Y/N · org input</t>
        </is>
      </c>
      <c r="C42" s="26" t="n"/>
      <c r="D42" s="26" t="n"/>
      <c r="E42" s="26"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c r="AD42" s="26" t="n"/>
      <c r="AE42" s="26" t="n"/>
      <c r="AF42" s="26" t="n"/>
      <c r="AG42" s="26" t="n"/>
      <c r="AH42" s="26" t="n"/>
      <c r="AI42" s="26" t="n"/>
      <c r="AJ42" s="26" t="n"/>
      <c r="AK42" s="26" t="n"/>
      <c r="AL42" s="26" t="n"/>
      <c r="AM42" s="26" t="n"/>
      <c r="AN42" s="26" t="n"/>
      <c r="AO42" s="26" t="n"/>
      <c r="AP42" s="26" t="n"/>
      <c r="AQ42" s="26" t="n"/>
      <c r="AR42" s="26" t="n"/>
      <c r="AS42" s="26" t="n"/>
      <c r="AT42" s="26" t="n"/>
      <c r="AU42" s="26" t="n"/>
      <c r="AV42" s="26" t="n"/>
      <c r="AW42" s="26" t="n"/>
      <c r="AX42" s="26" t="n"/>
    </row>
    <row r="43">
      <c r="A43" t="inlineStr">
        <is>
          <t>Attested by (org finance partner)</t>
        </is>
      </c>
      <c r="B43" s="5" t="inlineStr">
        <is>
          <t>name · org input</t>
        </is>
      </c>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c r="AD43" s="26" t="n"/>
      <c r="AE43" s="26" t="n"/>
      <c r="AF43" s="26" t="n"/>
      <c r="AG43" s="26" t="n"/>
      <c r="AH43" s="26" t="n"/>
      <c r="AI43" s="26" t="n"/>
      <c r="AJ43" s="26" t="n"/>
      <c r="AK43" s="26" t="n"/>
      <c r="AL43" s="26" t="n"/>
      <c r="AM43" s="26" t="n"/>
      <c r="AN43" s="26" t="n"/>
      <c r="AO43" s="26" t="n"/>
      <c r="AP43" s="26" t="n"/>
      <c r="AQ43" s="26" t="n"/>
      <c r="AR43" s="26" t="n"/>
      <c r="AS43" s="26" t="n"/>
      <c r="AT43" s="26" t="n"/>
      <c r="AU43" s="26" t="n"/>
      <c r="AV43" s="26" t="n"/>
      <c r="AW43" s="26" t="n"/>
      <c r="AX43" s="26" t="n"/>
    </row>
    <row r="44">
      <c r="A44" t="inlineStr">
        <is>
          <t>Commentary (required on material variance)</t>
        </is>
      </c>
      <c r="B44" s="5" t="inlineStr">
        <is>
          <t>text · org input</t>
        </is>
      </c>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c r="AD44" s="26" t="n"/>
      <c r="AE44" s="26" t="n"/>
      <c r="AF44" s="26" t="n"/>
      <c r="AG44" s="26" t="n"/>
      <c r="AH44" s="26" t="n"/>
      <c r="AI44" s="26" t="n"/>
      <c r="AJ44" s="26" t="n"/>
      <c r="AK44" s="26" t="n"/>
      <c r="AL44" s="26" t="n"/>
      <c r="AM44" s="26" t="n"/>
      <c r="AN44" s="26" t="n"/>
      <c r="AO44" s="26" t="n"/>
      <c r="AP44" s="26" t="n"/>
      <c r="AQ44" s="26" t="n"/>
      <c r="AR44" s="26" t="n"/>
      <c r="AS44" s="26" t="n"/>
      <c r="AT44" s="26" t="n"/>
      <c r="AU44" s="26" t="n"/>
      <c r="AV44" s="26" t="n"/>
      <c r="AW44" s="26" t="n"/>
      <c r="AX44" s="26" t="n"/>
    </row>
  </sheetData>
  <dataValidations count="2">
    <dataValidation sqref="C41:AX41" showDropDown="0" showInputMessage="0" showErrorMessage="0" allowBlank="1" type="list">
      <formula1>=Setup!$B$14:$B$16</formula1>
    </dataValidation>
    <dataValidation sqref="C42:AX42" showDropDown="0" showInputMessage="0" showErrorMessage="0" allowBlank="1" type="list">
      <formula1>=Setup!$B$18:$B$19</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X4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6" customWidth="1" min="1" max="1"/>
    <col width="20"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10.5" customWidth="1" min="35" max="35"/>
    <col width="10.5" customWidth="1" min="36" max="36"/>
    <col width="10.5" customWidth="1" min="37" max="37"/>
    <col width="10.5" customWidth="1" min="38" max="38"/>
    <col width="10.5" customWidth="1" min="39" max="39"/>
    <col width="10.5" customWidth="1" min="40" max="40"/>
    <col width="10.5" customWidth="1" min="41" max="41"/>
    <col width="10.5" customWidth="1" min="42" max="42"/>
    <col width="10.5" customWidth="1" min="43" max="43"/>
    <col width="10.5" customWidth="1" min="44" max="44"/>
    <col width="10.5" customWidth="1" min="45" max="45"/>
    <col width="10.5" customWidth="1" min="46" max="46"/>
    <col width="10.5" customWidth="1" min="47" max="47"/>
    <col width="10.5" customWidth="1" min="48" max="48"/>
    <col width="10.5" customWidth="1" min="49" max="49"/>
    <col width="10.5" customWidth="1" min="50" max="50"/>
  </cols>
  <sheetData>
    <row r="1">
      <c r="A1" s="4">
        <f>CONCATENATE("ORG: ",Setup!$B$7)</f>
        <v/>
      </c>
    </row>
    <row r="2">
      <c r="A2" s="5" t="inlineStr">
        <is>
          <t>Enter BLUE cells only. GREEN = central fill. GREY = linked target (do not edit). See READ ME + Guiding Principles tabs.</t>
        </is>
      </c>
    </row>
    <row r="4">
      <c r="C4" s="8" t="n">
        <v>2026</v>
      </c>
      <c r="O4" s="8" t="n">
        <v>2027</v>
      </c>
      <c r="AA4" s="8" t="n">
        <v>2028</v>
      </c>
      <c r="AM4" s="8" t="n">
        <v>2029</v>
      </c>
    </row>
    <row r="5">
      <c r="A5" s="9" t="inlineStr">
        <is>
          <t>Metric</t>
        </is>
      </c>
      <c r="B5" s="9" t="inlineStr">
        <is>
          <t>Unit / who fills</t>
        </is>
      </c>
      <c r="C5" s="10" t="n">
        <v>46023</v>
      </c>
      <c r="D5" s="10" t="n">
        <v>46054</v>
      </c>
      <c r="E5" s="10" t="n">
        <v>46082</v>
      </c>
      <c r="F5" s="10" t="n">
        <v>46113</v>
      </c>
      <c r="G5" s="10" t="n">
        <v>46143</v>
      </c>
      <c r="H5" s="10" t="n">
        <v>46174</v>
      </c>
      <c r="I5" s="10" t="n">
        <v>46204</v>
      </c>
      <c r="J5" s="10" t="n">
        <v>46235</v>
      </c>
      <c r="K5" s="10" t="n">
        <v>46266</v>
      </c>
      <c r="L5" s="10" t="n">
        <v>46296</v>
      </c>
      <c r="M5" s="10" t="n">
        <v>46327</v>
      </c>
      <c r="N5" s="10" t="n">
        <v>46357</v>
      </c>
      <c r="O5" s="10" t="n">
        <v>46388</v>
      </c>
      <c r="P5" s="10" t="n">
        <v>46419</v>
      </c>
      <c r="Q5" s="10" t="n">
        <v>46447</v>
      </c>
      <c r="R5" s="10" t="n">
        <v>46478</v>
      </c>
      <c r="S5" s="10" t="n">
        <v>46508</v>
      </c>
      <c r="T5" s="10" t="n">
        <v>46539</v>
      </c>
      <c r="U5" s="10" t="n">
        <v>46569</v>
      </c>
      <c r="V5" s="10" t="n">
        <v>46600</v>
      </c>
      <c r="W5" s="10" t="n">
        <v>46631</v>
      </c>
      <c r="X5" s="10" t="n">
        <v>46661</v>
      </c>
      <c r="Y5" s="10" t="n">
        <v>46692</v>
      </c>
      <c r="Z5" s="10" t="n">
        <v>46722</v>
      </c>
      <c r="AA5" s="10" t="n">
        <v>46753</v>
      </c>
      <c r="AB5" s="10" t="n">
        <v>46784</v>
      </c>
      <c r="AC5" s="10" t="n">
        <v>46813</v>
      </c>
      <c r="AD5" s="10" t="n">
        <v>46844</v>
      </c>
      <c r="AE5" s="10" t="n">
        <v>46874</v>
      </c>
      <c r="AF5" s="10" t="n">
        <v>46905</v>
      </c>
      <c r="AG5" s="10" t="n">
        <v>46935</v>
      </c>
      <c r="AH5" s="10" t="n">
        <v>46966</v>
      </c>
      <c r="AI5" s="10" t="n">
        <v>46997</v>
      </c>
      <c r="AJ5" s="10" t="n">
        <v>47027</v>
      </c>
      <c r="AK5" s="10" t="n">
        <v>47058</v>
      </c>
      <c r="AL5" s="10" t="n">
        <v>47088</v>
      </c>
      <c r="AM5" s="10" t="n">
        <v>47119</v>
      </c>
      <c r="AN5" s="10" t="n">
        <v>47150</v>
      </c>
      <c r="AO5" s="10" t="n">
        <v>47178</v>
      </c>
      <c r="AP5" s="10" t="n">
        <v>47209</v>
      </c>
      <c r="AQ5" s="10" t="n">
        <v>47239</v>
      </c>
      <c r="AR5" s="10" t="n">
        <v>47270</v>
      </c>
      <c r="AS5" s="10" t="n">
        <v>47300</v>
      </c>
      <c r="AT5" s="10" t="n">
        <v>47331</v>
      </c>
      <c r="AU5" s="10" t="n">
        <v>47362</v>
      </c>
      <c r="AV5" s="10" t="n">
        <v>47392</v>
      </c>
      <c r="AW5" s="10" t="n">
        <v>47423</v>
      </c>
      <c r="AX5" s="10" t="n">
        <v>47453</v>
      </c>
    </row>
    <row r="6">
      <c r="A6" s="11" t="inlineStr">
        <is>
          <t>A.  INDIA HIRING</t>
        </is>
      </c>
      <c r="B6" s="16" t="inlineStr"/>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row>
    <row r="7">
      <c r="A7" t="inlineStr">
        <is>
          <t>India hires — Target</t>
        </is>
      </c>
      <c r="B7" s="5" t="inlineStr">
        <is>
          <t>heads · linked</t>
        </is>
      </c>
      <c r="C7" s="17">
        <f>Targets!C35</f>
        <v/>
      </c>
      <c r="D7" s="17">
        <f>Targets!D35</f>
        <v/>
      </c>
      <c r="E7" s="17">
        <f>Targets!E35</f>
        <v/>
      </c>
      <c r="F7" s="17">
        <f>Targets!F35</f>
        <v/>
      </c>
      <c r="G7" s="17">
        <f>Targets!G35</f>
        <v/>
      </c>
      <c r="H7" s="17">
        <f>Targets!H35</f>
        <v/>
      </c>
      <c r="I7" s="17">
        <f>Targets!I35</f>
        <v/>
      </c>
      <c r="J7" s="17">
        <f>Targets!J35</f>
        <v/>
      </c>
      <c r="K7" s="17">
        <f>Targets!K35</f>
        <v/>
      </c>
      <c r="L7" s="17">
        <f>Targets!L35</f>
        <v/>
      </c>
      <c r="M7" s="17">
        <f>Targets!M35</f>
        <v/>
      </c>
      <c r="N7" s="17">
        <f>Targets!N35</f>
        <v/>
      </c>
      <c r="O7" s="17">
        <f>Targets!O35</f>
        <v/>
      </c>
      <c r="P7" s="17">
        <f>Targets!P35</f>
        <v/>
      </c>
      <c r="Q7" s="17">
        <f>Targets!Q35</f>
        <v/>
      </c>
      <c r="R7" s="17">
        <f>Targets!R35</f>
        <v/>
      </c>
      <c r="S7" s="17">
        <f>Targets!S35</f>
        <v/>
      </c>
      <c r="T7" s="17">
        <f>Targets!T35</f>
        <v/>
      </c>
      <c r="U7" s="17">
        <f>Targets!U35</f>
        <v/>
      </c>
      <c r="V7" s="17">
        <f>Targets!V35</f>
        <v/>
      </c>
      <c r="W7" s="17">
        <f>Targets!W35</f>
        <v/>
      </c>
      <c r="X7" s="17">
        <f>Targets!X35</f>
        <v/>
      </c>
      <c r="Y7" s="17">
        <f>Targets!Y35</f>
        <v/>
      </c>
      <c r="Z7" s="17">
        <f>Targets!Z35</f>
        <v/>
      </c>
      <c r="AA7" s="17">
        <f>Targets!AA35</f>
        <v/>
      </c>
      <c r="AB7" s="17">
        <f>Targets!AB35</f>
        <v/>
      </c>
      <c r="AC7" s="17">
        <f>Targets!AC35</f>
        <v/>
      </c>
      <c r="AD7" s="17">
        <f>Targets!AD35</f>
        <v/>
      </c>
      <c r="AE7" s="17">
        <f>Targets!AE35</f>
        <v/>
      </c>
      <c r="AF7" s="17">
        <f>Targets!AF35</f>
        <v/>
      </c>
      <c r="AG7" s="17">
        <f>Targets!AG35</f>
        <v/>
      </c>
      <c r="AH7" s="17">
        <f>Targets!AH35</f>
        <v/>
      </c>
      <c r="AI7" s="17">
        <f>Targets!AI35</f>
        <v/>
      </c>
      <c r="AJ7" s="17">
        <f>Targets!AJ35</f>
        <v/>
      </c>
      <c r="AK7" s="17">
        <f>Targets!AK35</f>
        <v/>
      </c>
      <c r="AL7" s="17">
        <f>Targets!AL35</f>
        <v/>
      </c>
      <c r="AM7" s="17">
        <f>Targets!AM35</f>
        <v/>
      </c>
      <c r="AN7" s="17">
        <f>Targets!AN35</f>
        <v/>
      </c>
      <c r="AO7" s="17">
        <f>Targets!AO35</f>
        <v/>
      </c>
      <c r="AP7" s="17">
        <f>Targets!AP35</f>
        <v/>
      </c>
      <c r="AQ7" s="17">
        <f>Targets!AQ35</f>
        <v/>
      </c>
      <c r="AR7" s="17">
        <f>Targets!AR35</f>
        <v/>
      </c>
      <c r="AS7" s="17">
        <f>Targets!AS35</f>
        <v/>
      </c>
      <c r="AT7" s="17">
        <f>Targets!AT35</f>
        <v/>
      </c>
      <c r="AU7" s="17">
        <f>Targets!AU35</f>
        <v/>
      </c>
      <c r="AV7" s="17">
        <f>Targets!AV35</f>
        <v/>
      </c>
      <c r="AW7" s="17">
        <f>Targets!AW35</f>
        <v/>
      </c>
      <c r="AX7" s="17">
        <f>Targets!AX35</f>
        <v/>
      </c>
    </row>
    <row r="8">
      <c r="A8" t="inlineStr">
        <is>
          <t>India hires — Actual</t>
        </is>
      </c>
      <c r="B8" s="5" t="inlineStr">
        <is>
          <t>heads · central (PlanIt)</t>
        </is>
      </c>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row>
    <row r="9">
      <c r="A9" t="inlineStr">
        <is>
          <t>Cumulative hires — Target</t>
        </is>
      </c>
      <c r="B9" s="5" t="inlineStr">
        <is>
          <t>heads · auto</t>
        </is>
      </c>
      <c r="C9" s="19">
        <f>SUM($C7:C7)</f>
        <v/>
      </c>
      <c r="D9" s="19">
        <f>SUM($C7:D7)</f>
        <v/>
      </c>
      <c r="E9" s="19">
        <f>SUM($C7:E7)</f>
        <v/>
      </c>
      <c r="F9" s="19">
        <f>SUM($C7:F7)</f>
        <v/>
      </c>
      <c r="G9" s="19">
        <f>SUM($C7:G7)</f>
        <v/>
      </c>
      <c r="H9" s="19">
        <f>SUM($C7:H7)</f>
        <v/>
      </c>
      <c r="I9" s="19">
        <f>SUM($C7:I7)</f>
        <v/>
      </c>
      <c r="J9" s="19">
        <f>SUM($C7:J7)</f>
        <v/>
      </c>
      <c r="K9" s="19">
        <f>SUM($C7:K7)</f>
        <v/>
      </c>
      <c r="L9" s="19">
        <f>SUM($C7:L7)</f>
        <v/>
      </c>
      <c r="M9" s="19">
        <f>SUM($C7:M7)</f>
        <v/>
      </c>
      <c r="N9" s="19">
        <f>SUM($C7:N7)</f>
        <v/>
      </c>
      <c r="O9" s="19">
        <f>SUM($C7:O7)</f>
        <v/>
      </c>
      <c r="P9" s="19">
        <f>SUM($C7:P7)</f>
        <v/>
      </c>
      <c r="Q9" s="19">
        <f>SUM($C7:Q7)</f>
        <v/>
      </c>
      <c r="R9" s="19">
        <f>SUM($C7:R7)</f>
        <v/>
      </c>
      <c r="S9" s="19">
        <f>SUM($C7:S7)</f>
        <v/>
      </c>
      <c r="T9" s="19">
        <f>SUM($C7:T7)</f>
        <v/>
      </c>
      <c r="U9" s="19">
        <f>SUM($C7:U7)</f>
        <v/>
      </c>
      <c r="V9" s="19">
        <f>SUM($C7:V7)</f>
        <v/>
      </c>
      <c r="W9" s="19">
        <f>SUM($C7:W7)</f>
        <v/>
      </c>
      <c r="X9" s="19">
        <f>SUM($C7:X7)</f>
        <v/>
      </c>
      <c r="Y9" s="19">
        <f>SUM($C7:Y7)</f>
        <v/>
      </c>
      <c r="Z9" s="19">
        <f>SUM($C7:Z7)</f>
        <v/>
      </c>
      <c r="AA9" s="19">
        <f>SUM($C7:AA7)</f>
        <v/>
      </c>
      <c r="AB9" s="19">
        <f>SUM($C7:AB7)</f>
        <v/>
      </c>
      <c r="AC9" s="19">
        <f>SUM($C7:AC7)</f>
        <v/>
      </c>
      <c r="AD9" s="19">
        <f>SUM($C7:AD7)</f>
        <v/>
      </c>
      <c r="AE9" s="19">
        <f>SUM($C7:AE7)</f>
        <v/>
      </c>
      <c r="AF9" s="19">
        <f>SUM($C7:AF7)</f>
        <v/>
      </c>
      <c r="AG9" s="19">
        <f>SUM($C7:AG7)</f>
        <v/>
      </c>
      <c r="AH9" s="19">
        <f>SUM($C7:AH7)</f>
        <v/>
      </c>
      <c r="AI9" s="19">
        <f>SUM($C7:AI7)</f>
        <v/>
      </c>
      <c r="AJ9" s="19">
        <f>SUM($C7:AJ7)</f>
        <v/>
      </c>
      <c r="AK9" s="19">
        <f>SUM($C7:AK7)</f>
        <v/>
      </c>
      <c r="AL9" s="19">
        <f>SUM($C7:AL7)</f>
        <v/>
      </c>
      <c r="AM9" s="19">
        <f>SUM($C7:AM7)</f>
        <v/>
      </c>
      <c r="AN9" s="19">
        <f>SUM($C7:AN7)</f>
        <v/>
      </c>
      <c r="AO9" s="19">
        <f>SUM($C7:AO7)</f>
        <v/>
      </c>
      <c r="AP9" s="19">
        <f>SUM($C7:AP7)</f>
        <v/>
      </c>
      <c r="AQ9" s="19">
        <f>SUM($C7:AQ7)</f>
        <v/>
      </c>
      <c r="AR9" s="19">
        <f>SUM($C7:AR7)</f>
        <v/>
      </c>
      <c r="AS9" s="19">
        <f>SUM($C7:AS7)</f>
        <v/>
      </c>
      <c r="AT9" s="19">
        <f>SUM($C7:AT7)</f>
        <v/>
      </c>
      <c r="AU9" s="19">
        <f>SUM($C7:AU7)</f>
        <v/>
      </c>
      <c r="AV9" s="19">
        <f>SUM($C7:AV7)</f>
        <v/>
      </c>
      <c r="AW9" s="19">
        <f>SUM($C7:AW7)</f>
        <v/>
      </c>
      <c r="AX9" s="19">
        <f>SUM($C7:AX7)</f>
        <v/>
      </c>
    </row>
    <row r="10">
      <c r="A10" t="inlineStr">
        <is>
          <t>Cumulative hires — Actual</t>
        </is>
      </c>
      <c r="B10" s="5" t="inlineStr">
        <is>
          <t>heads · auto</t>
        </is>
      </c>
      <c r="C10" s="19">
        <f>SUM($C8:C8)</f>
        <v/>
      </c>
      <c r="D10" s="19">
        <f>SUM($C8:D8)</f>
        <v/>
      </c>
      <c r="E10" s="19">
        <f>SUM($C8:E8)</f>
        <v/>
      </c>
      <c r="F10" s="19">
        <f>SUM($C8:F8)</f>
        <v/>
      </c>
      <c r="G10" s="19">
        <f>SUM($C8:G8)</f>
        <v/>
      </c>
      <c r="H10" s="19">
        <f>SUM($C8:H8)</f>
        <v/>
      </c>
      <c r="I10" s="19">
        <f>SUM($C8:I8)</f>
        <v/>
      </c>
      <c r="J10" s="19">
        <f>SUM($C8:J8)</f>
        <v/>
      </c>
      <c r="K10" s="19">
        <f>SUM($C8:K8)</f>
        <v/>
      </c>
      <c r="L10" s="19">
        <f>SUM($C8:L8)</f>
        <v/>
      </c>
      <c r="M10" s="19">
        <f>SUM($C8:M8)</f>
        <v/>
      </c>
      <c r="N10" s="19">
        <f>SUM($C8:N8)</f>
        <v/>
      </c>
      <c r="O10" s="19">
        <f>SUM($C8:O8)</f>
        <v/>
      </c>
      <c r="P10" s="19">
        <f>SUM($C8:P8)</f>
        <v/>
      </c>
      <c r="Q10" s="19">
        <f>SUM($C8:Q8)</f>
        <v/>
      </c>
      <c r="R10" s="19">
        <f>SUM($C8:R8)</f>
        <v/>
      </c>
      <c r="S10" s="19">
        <f>SUM($C8:S8)</f>
        <v/>
      </c>
      <c r="T10" s="19">
        <f>SUM($C8:T8)</f>
        <v/>
      </c>
      <c r="U10" s="19">
        <f>SUM($C8:U8)</f>
        <v/>
      </c>
      <c r="V10" s="19">
        <f>SUM($C8:V8)</f>
        <v/>
      </c>
      <c r="W10" s="19">
        <f>SUM($C8:W8)</f>
        <v/>
      </c>
      <c r="X10" s="19">
        <f>SUM($C8:X8)</f>
        <v/>
      </c>
      <c r="Y10" s="19">
        <f>SUM($C8:Y8)</f>
        <v/>
      </c>
      <c r="Z10" s="19">
        <f>SUM($C8:Z8)</f>
        <v/>
      </c>
      <c r="AA10" s="19">
        <f>SUM($C8:AA8)</f>
        <v/>
      </c>
      <c r="AB10" s="19">
        <f>SUM($C8:AB8)</f>
        <v/>
      </c>
      <c r="AC10" s="19">
        <f>SUM($C8:AC8)</f>
        <v/>
      </c>
      <c r="AD10" s="19">
        <f>SUM($C8:AD8)</f>
        <v/>
      </c>
      <c r="AE10" s="19">
        <f>SUM($C8:AE8)</f>
        <v/>
      </c>
      <c r="AF10" s="19">
        <f>SUM($C8:AF8)</f>
        <v/>
      </c>
      <c r="AG10" s="19">
        <f>SUM($C8:AG8)</f>
        <v/>
      </c>
      <c r="AH10" s="19">
        <f>SUM($C8:AH8)</f>
        <v/>
      </c>
      <c r="AI10" s="19">
        <f>SUM($C8:AI8)</f>
        <v/>
      </c>
      <c r="AJ10" s="19">
        <f>SUM($C8:AJ8)</f>
        <v/>
      </c>
      <c r="AK10" s="19">
        <f>SUM($C8:AK8)</f>
        <v/>
      </c>
      <c r="AL10" s="19">
        <f>SUM($C8:AL8)</f>
        <v/>
      </c>
      <c r="AM10" s="19">
        <f>SUM($C8:AM8)</f>
        <v/>
      </c>
      <c r="AN10" s="19">
        <f>SUM($C8:AN8)</f>
        <v/>
      </c>
      <c r="AO10" s="19">
        <f>SUM($C8:AO8)</f>
        <v/>
      </c>
      <c r="AP10" s="19">
        <f>SUM($C8:AP8)</f>
        <v/>
      </c>
      <c r="AQ10" s="19">
        <f>SUM($C8:AQ8)</f>
        <v/>
      </c>
      <c r="AR10" s="19">
        <f>SUM($C8:AR8)</f>
        <v/>
      </c>
      <c r="AS10" s="19">
        <f>SUM($C8:AS8)</f>
        <v/>
      </c>
      <c r="AT10" s="19">
        <f>SUM($C8:AT8)</f>
        <v/>
      </c>
      <c r="AU10" s="19">
        <f>SUM($C8:AU8)</f>
        <v/>
      </c>
      <c r="AV10" s="19">
        <f>SUM($C8:AV8)</f>
        <v/>
      </c>
      <c r="AW10" s="19">
        <f>SUM($C8:AW8)</f>
        <v/>
      </c>
      <c r="AX10" s="19">
        <f>SUM($C8:AX8)</f>
        <v/>
      </c>
    </row>
    <row r="11">
      <c r="A11" t="inlineStr">
        <is>
          <t>Hires variance (Actual − Target), cumulative</t>
        </is>
      </c>
      <c r="B11" s="5" t="inlineStr">
        <is>
          <t>heads · auto</t>
        </is>
      </c>
      <c r="C11" s="19">
        <f>C10-C9</f>
        <v/>
      </c>
      <c r="D11" s="19">
        <f>D10-D9</f>
        <v/>
      </c>
      <c r="E11" s="19">
        <f>E10-E9</f>
        <v/>
      </c>
      <c r="F11" s="19">
        <f>F10-F9</f>
        <v/>
      </c>
      <c r="G11" s="19">
        <f>G10-G9</f>
        <v/>
      </c>
      <c r="H11" s="19">
        <f>H10-H9</f>
        <v/>
      </c>
      <c r="I11" s="19">
        <f>I10-I9</f>
        <v/>
      </c>
      <c r="J11" s="19">
        <f>J10-J9</f>
        <v/>
      </c>
      <c r="K11" s="19">
        <f>K10-K9</f>
        <v/>
      </c>
      <c r="L11" s="19">
        <f>L10-L9</f>
        <v/>
      </c>
      <c r="M11" s="19">
        <f>M10-M9</f>
        <v/>
      </c>
      <c r="N11" s="19">
        <f>N10-N9</f>
        <v/>
      </c>
      <c r="O11" s="19">
        <f>O10-O9</f>
        <v/>
      </c>
      <c r="P11" s="19">
        <f>P10-P9</f>
        <v/>
      </c>
      <c r="Q11" s="19">
        <f>Q10-Q9</f>
        <v/>
      </c>
      <c r="R11" s="19">
        <f>R10-R9</f>
        <v/>
      </c>
      <c r="S11" s="19">
        <f>S10-S9</f>
        <v/>
      </c>
      <c r="T11" s="19">
        <f>T10-T9</f>
        <v/>
      </c>
      <c r="U11" s="19">
        <f>U10-U9</f>
        <v/>
      </c>
      <c r="V11" s="19">
        <f>V10-V9</f>
        <v/>
      </c>
      <c r="W11" s="19">
        <f>W10-W9</f>
        <v/>
      </c>
      <c r="X11" s="19">
        <f>X10-X9</f>
        <v/>
      </c>
      <c r="Y11" s="19">
        <f>Y10-Y9</f>
        <v/>
      </c>
      <c r="Z11" s="19">
        <f>Z10-Z9</f>
        <v/>
      </c>
      <c r="AA11" s="19">
        <f>AA10-AA9</f>
        <v/>
      </c>
      <c r="AB11" s="19">
        <f>AB10-AB9</f>
        <v/>
      </c>
      <c r="AC11" s="19">
        <f>AC10-AC9</f>
        <v/>
      </c>
      <c r="AD11" s="19">
        <f>AD10-AD9</f>
        <v/>
      </c>
      <c r="AE11" s="19">
        <f>AE10-AE9</f>
        <v/>
      </c>
      <c r="AF11" s="19">
        <f>AF10-AF9</f>
        <v/>
      </c>
      <c r="AG11" s="19">
        <f>AG10-AG9</f>
        <v/>
      </c>
      <c r="AH11" s="19">
        <f>AH10-AH9</f>
        <v/>
      </c>
      <c r="AI11" s="19">
        <f>AI10-AI9</f>
        <v/>
      </c>
      <c r="AJ11" s="19">
        <f>AJ10-AJ9</f>
        <v/>
      </c>
      <c r="AK11" s="19">
        <f>AK10-AK9</f>
        <v/>
      </c>
      <c r="AL11" s="19">
        <f>AL10-AL9</f>
        <v/>
      </c>
      <c r="AM11" s="19">
        <f>AM10-AM9</f>
        <v/>
      </c>
      <c r="AN11" s="19">
        <f>AN10-AN9</f>
        <v/>
      </c>
      <c r="AO11" s="19">
        <f>AO10-AO9</f>
        <v/>
      </c>
      <c r="AP11" s="19">
        <f>AP10-AP9</f>
        <v/>
      </c>
      <c r="AQ11" s="19">
        <f>AQ10-AQ9</f>
        <v/>
      </c>
      <c r="AR11" s="19">
        <f>AR10-AR9</f>
        <v/>
      </c>
      <c r="AS11" s="19">
        <f>AS10-AS9</f>
        <v/>
      </c>
      <c r="AT11" s="19">
        <f>AT10-AT9</f>
        <v/>
      </c>
      <c r="AU11" s="19">
        <f>AU10-AU9</f>
        <v/>
      </c>
      <c r="AV11" s="19">
        <f>AV10-AV9</f>
        <v/>
      </c>
      <c r="AW11" s="19">
        <f>AW10-AW9</f>
        <v/>
      </c>
      <c r="AX11" s="19">
        <f>AX10-AX9</f>
        <v/>
      </c>
    </row>
    <row r="12">
      <c r="A12" t="inlineStr">
        <is>
          <t>Avg India loaded comp — Plan</t>
        </is>
      </c>
      <c r="B12" s="5" t="inlineStr">
        <is>
          <t>$K/yr · central (PlanIt)</t>
        </is>
      </c>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20" t="n"/>
      <c r="AD12" s="20" t="n"/>
      <c r="AE12" s="20" t="n"/>
      <c r="AF12" s="20" t="n"/>
      <c r="AG12" s="20" t="n"/>
      <c r="AH12" s="20" t="n"/>
      <c r="AI12" s="20" t="n"/>
      <c r="AJ12" s="20" t="n"/>
      <c r="AK12" s="20" t="n"/>
      <c r="AL12" s="20" t="n"/>
      <c r="AM12" s="20" t="n"/>
      <c r="AN12" s="20" t="n"/>
      <c r="AO12" s="20" t="n"/>
      <c r="AP12" s="20" t="n"/>
      <c r="AQ12" s="20" t="n"/>
      <c r="AR12" s="20" t="n"/>
      <c r="AS12" s="20" t="n"/>
      <c r="AT12" s="20" t="n"/>
      <c r="AU12" s="20" t="n"/>
      <c r="AV12" s="20" t="n"/>
      <c r="AW12" s="20" t="n"/>
      <c r="AX12" s="20" t="n"/>
    </row>
    <row r="13">
      <c r="A13" t="inlineStr">
        <is>
          <t>Avg India loaded comp — Actual</t>
        </is>
      </c>
      <c r="B13" s="5" t="inlineStr">
        <is>
          <t>$K/yr · central (PlanIt)</t>
        </is>
      </c>
      <c r="C13" s="20"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c r="AA13" s="20" t="n"/>
      <c r="AB13" s="20" t="n"/>
      <c r="AC13" s="20" t="n"/>
      <c r="AD13" s="20" t="n"/>
      <c r="AE13" s="20" t="n"/>
      <c r="AF13" s="20" t="n"/>
      <c r="AG13" s="20" t="n"/>
      <c r="AH13" s="20" t="n"/>
      <c r="AI13" s="20" t="n"/>
      <c r="AJ13" s="20" t="n"/>
      <c r="AK13" s="20" t="n"/>
      <c r="AL13" s="20" t="n"/>
      <c r="AM13" s="20" t="n"/>
      <c r="AN13" s="20" t="n"/>
      <c r="AO13" s="20" t="n"/>
      <c r="AP13" s="20" t="n"/>
      <c r="AQ13" s="20" t="n"/>
      <c r="AR13" s="20" t="n"/>
      <c r="AS13" s="20" t="n"/>
      <c r="AT13" s="20" t="n"/>
      <c r="AU13" s="20" t="n"/>
      <c r="AV13" s="20" t="n"/>
      <c r="AW13" s="20" t="n"/>
      <c r="AX13" s="20" t="n"/>
    </row>
    <row r="14">
      <c r="A14" t="inlineStr">
        <is>
          <t>India attrition in month</t>
        </is>
      </c>
      <c r="B14" s="5" t="inlineStr">
        <is>
          <t>heads · central (HR)</t>
        </is>
      </c>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c r="AA14" s="18" t="n"/>
      <c r="AB14" s="18" t="n"/>
      <c r="AC14" s="18" t="n"/>
      <c r="AD14" s="18" t="n"/>
      <c r="AE14" s="18" t="n"/>
      <c r="AF14" s="18" t="n"/>
      <c r="AG14" s="18" t="n"/>
      <c r="AH14" s="18" t="n"/>
      <c r="AI14" s="18" t="n"/>
      <c r="AJ14" s="18" t="n"/>
      <c r="AK14" s="18" t="n"/>
      <c r="AL14" s="18" t="n"/>
      <c r="AM14" s="18" t="n"/>
      <c r="AN14" s="18" t="n"/>
      <c r="AO14" s="18" t="n"/>
      <c r="AP14" s="18" t="n"/>
      <c r="AQ14" s="18" t="n"/>
      <c r="AR14" s="18" t="n"/>
      <c r="AS14" s="18" t="n"/>
      <c r="AT14" s="18" t="n"/>
      <c r="AU14" s="18" t="n"/>
      <c r="AV14" s="18" t="n"/>
      <c r="AW14" s="18" t="n"/>
      <c r="AX14" s="18" t="n"/>
    </row>
    <row r="15">
      <c r="A15" t="inlineStr">
        <is>
          <t>% of India hires fully productive</t>
        </is>
      </c>
      <c r="B15" s="5" t="inlineStr">
        <is>
          <t>% · org input</t>
        </is>
      </c>
      <c r="C15" s="21" t="n"/>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c r="AA15" s="21" t="n"/>
      <c r="AB15" s="21" t="n"/>
      <c r="AC15" s="21" t="n"/>
      <c r="AD15" s="21" t="n"/>
      <c r="AE15" s="21" t="n"/>
      <c r="AF15" s="21" t="n"/>
      <c r="AG15" s="21" t="n"/>
      <c r="AH15" s="21" t="n"/>
      <c r="AI15" s="21" t="n"/>
      <c r="AJ15" s="21" t="n"/>
      <c r="AK15" s="21" t="n"/>
      <c r="AL15" s="21" t="n"/>
      <c r="AM15" s="21" t="n"/>
      <c r="AN15" s="21" t="n"/>
      <c r="AO15" s="21" t="n"/>
      <c r="AP15" s="21" t="n"/>
      <c r="AQ15" s="21" t="n"/>
      <c r="AR15" s="21" t="n"/>
      <c r="AS15" s="21" t="n"/>
      <c r="AT15" s="21" t="n"/>
      <c r="AU15" s="21" t="n"/>
      <c r="AV15" s="21" t="n"/>
      <c r="AW15" s="21" t="n"/>
      <c r="AX15" s="21" t="n"/>
    </row>
    <row r="16">
      <c r="A16" s="11" t="inlineStr">
        <is>
          <t>B.  GROSS REDUCTIONS REALIZED IN PERIOD</t>
        </is>
      </c>
      <c r="B16" s="16" t="inlineStr"/>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row>
    <row r="17">
      <c r="A17" t="inlineStr">
        <is>
          <t>Professional services — Target</t>
        </is>
      </c>
      <c r="B17" s="5" t="inlineStr">
        <is>
          <t>$K · linked</t>
        </is>
      </c>
      <c r="C17" s="22">
        <f>Targets!C36</f>
        <v/>
      </c>
      <c r="D17" s="22">
        <f>Targets!D36</f>
        <v/>
      </c>
      <c r="E17" s="22">
        <f>Targets!E36</f>
        <v/>
      </c>
      <c r="F17" s="22">
        <f>Targets!F36</f>
        <v/>
      </c>
      <c r="G17" s="22">
        <f>Targets!G36</f>
        <v/>
      </c>
      <c r="H17" s="22">
        <f>Targets!H36</f>
        <v/>
      </c>
      <c r="I17" s="22">
        <f>Targets!I36</f>
        <v/>
      </c>
      <c r="J17" s="22">
        <f>Targets!J36</f>
        <v/>
      </c>
      <c r="K17" s="22">
        <f>Targets!K36</f>
        <v/>
      </c>
      <c r="L17" s="22">
        <f>Targets!L36</f>
        <v/>
      </c>
      <c r="M17" s="22">
        <f>Targets!M36</f>
        <v/>
      </c>
      <c r="N17" s="22">
        <f>Targets!N36</f>
        <v/>
      </c>
      <c r="O17" s="22">
        <f>Targets!O36</f>
        <v/>
      </c>
      <c r="P17" s="22">
        <f>Targets!P36</f>
        <v/>
      </c>
      <c r="Q17" s="22">
        <f>Targets!Q36</f>
        <v/>
      </c>
      <c r="R17" s="22">
        <f>Targets!R36</f>
        <v/>
      </c>
      <c r="S17" s="22">
        <f>Targets!S36</f>
        <v/>
      </c>
      <c r="T17" s="22">
        <f>Targets!T36</f>
        <v/>
      </c>
      <c r="U17" s="22">
        <f>Targets!U36</f>
        <v/>
      </c>
      <c r="V17" s="22">
        <f>Targets!V36</f>
        <v/>
      </c>
      <c r="W17" s="22">
        <f>Targets!W36</f>
        <v/>
      </c>
      <c r="X17" s="22">
        <f>Targets!X36</f>
        <v/>
      </c>
      <c r="Y17" s="22">
        <f>Targets!Y36</f>
        <v/>
      </c>
      <c r="Z17" s="22">
        <f>Targets!Z36</f>
        <v/>
      </c>
      <c r="AA17" s="22">
        <f>Targets!AA36</f>
        <v/>
      </c>
      <c r="AB17" s="22">
        <f>Targets!AB36</f>
        <v/>
      </c>
      <c r="AC17" s="22">
        <f>Targets!AC36</f>
        <v/>
      </c>
      <c r="AD17" s="22">
        <f>Targets!AD36</f>
        <v/>
      </c>
      <c r="AE17" s="22">
        <f>Targets!AE36</f>
        <v/>
      </c>
      <c r="AF17" s="22">
        <f>Targets!AF36</f>
        <v/>
      </c>
      <c r="AG17" s="22">
        <f>Targets!AG36</f>
        <v/>
      </c>
      <c r="AH17" s="22">
        <f>Targets!AH36</f>
        <v/>
      </c>
      <c r="AI17" s="22">
        <f>Targets!AI36</f>
        <v/>
      </c>
      <c r="AJ17" s="22">
        <f>Targets!AJ36</f>
        <v/>
      </c>
      <c r="AK17" s="22">
        <f>Targets!AK36</f>
        <v/>
      </c>
      <c r="AL17" s="22">
        <f>Targets!AL36</f>
        <v/>
      </c>
      <c r="AM17" s="22">
        <f>Targets!AM36</f>
        <v/>
      </c>
      <c r="AN17" s="22">
        <f>Targets!AN36</f>
        <v/>
      </c>
      <c r="AO17" s="22">
        <f>Targets!AO36</f>
        <v/>
      </c>
      <c r="AP17" s="22">
        <f>Targets!AP36</f>
        <v/>
      </c>
      <c r="AQ17" s="22">
        <f>Targets!AQ36</f>
        <v/>
      </c>
      <c r="AR17" s="22">
        <f>Targets!AR36</f>
        <v/>
      </c>
      <c r="AS17" s="22">
        <f>Targets!AS36</f>
        <v/>
      </c>
      <c r="AT17" s="22">
        <f>Targets!AT36</f>
        <v/>
      </c>
      <c r="AU17" s="22">
        <f>Targets!AU36</f>
        <v/>
      </c>
      <c r="AV17" s="22">
        <f>Targets!AV36</f>
        <v/>
      </c>
      <c r="AW17" s="22">
        <f>Targets!AW36</f>
        <v/>
      </c>
      <c r="AX17" s="22">
        <f>Targets!AX36</f>
        <v/>
      </c>
    </row>
    <row r="18">
      <c r="A18" t="inlineStr">
        <is>
          <t>Professional services — Actual</t>
        </is>
      </c>
      <c r="B18" s="5" t="inlineStr">
        <is>
          <t>$K · org input</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row>
    <row r="19">
      <c r="A19" t="inlineStr">
        <is>
          <t>Offshore contractors — Target</t>
        </is>
      </c>
      <c r="B19" s="5" t="inlineStr">
        <is>
          <t>$K · linked</t>
        </is>
      </c>
      <c r="C19" s="22">
        <f>Targets!C37</f>
        <v/>
      </c>
      <c r="D19" s="22">
        <f>Targets!D37</f>
        <v/>
      </c>
      <c r="E19" s="22">
        <f>Targets!E37</f>
        <v/>
      </c>
      <c r="F19" s="22">
        <f>Targets!F37</f>
        <v/>
      </c>
      <c r="G19" s="22">
        <f>Targets!G37</f>
        <v/>
      </c>
      <c r="H19" s="22">
        <f>Targets!H37</f>
        <v/>
      </c>
      <c r="I19" s="22">
        <f>Targets!I37</f>
        <v/>
      </c>
      <c r="J19" s="22">
        <f>Targets!J37</f>
        <v/>
      </c>
      <c r="K19" s="22">
        <f>Targets!K37</f>
        <v/>
      </c>
      <c r="L19" s="22">
        <f>Targets!L37</f>
        <v/>
      </c>
      <c r="M19" s="22">
        <f>Targets!M37</f>
        <v/>
      </c>
      <c r="N19" s="22">
        <f>Targets!N37</f>
        <v/>
      </c>
      <c r="O19" s="22">
        <f>Targets!O37</f>
        <v/>
      </c>
      <c r="P19" s="22">
        <f>Targets!P37</f>
        <v/>
      </c>
      <c r="Q19" s="22">
        <f>Targets!Q37</f>
        <v/>
      </c>
      <c r="R19" s="22">
        <f>Targets!R37</f>
        <v/>
      </c>
      <c r="S19" s="22">
        <f>Targets!S37</f>
        <v/>
      </c>
      <c r="T19" s="22">
        <f>Targets!T37</f>
        <v/>
      </c>
      <c r="U19" s="22">
        <f>Targets!U37</f>
        <v/>
      </c>
      <c r="V19" s="22">
        <f>Targets!V37</f>
        <v/>
      </c>
      <c r="W19" s="22">
        <f>Targets!W37</f>
        <v/>
      </c>
      <c r="X19" s="22">
        <f>Targets!X37</f>
        <v/>
      </c>
      <c r="Y19" s="22">
        <f>Targets!Y37</f>
        <v/>
      </c>
      <c r="Z19" s="22">
        <f>Targets!Z37</f>
        <v/>
      </c>
      <c r="AA19" s="22">
        <f>Targets!AA37</f>
        <v/>
      </c>
      <c r="AB19" s="22">
        <f>Targets!AB37</f>
        <v/>
      </c>
      <c r="AC19" s="22">
        <f>Targets!AC37</f>
        <v/>
      </c>
      <c r="AD19" s="22">
        <f>Targets!AD37</f>
        <v/>
      </c>
      <c r="AE19" s="22">
        <f>Targets!AE37</f>
        <v/>
      </c>
      <c r="AF19" s="22">
        <f>Targets!AF37</f>
        <v/>
      </c>
      <c r="AG19" s="22">
        <f>Targets!AG37</f>
        <v/>
      </c>
      <c r="AH19" s="22">
        <f>Targets!AH37</f>
        <v/>
      </c>
      <c r="AI19" s="22">
        <f>Targets!AI37</f>
        <v/>
      </c>
      <c r="AJ19" s="22">
        <f>Targets!AJ37</f>
        <v/>
      </c>
      <c r="AK19" s="22">
        <f>Targets!AK37</f>
        <v/>
      </c>
      <c r="AL19" s="22">
        <f>Targets!AL37</f>
        <v/>
      </c>
      <c r="AM19" s="22">
        <f>Targets!AM37</f>
        <v/>
      </c>
      <c r="AN19" s="22">
        <f>Targets!AN37</f>
        <v/>
      </c>
      <c r="AO19" s="22">
        <f>Targets!AO37</f>
        <v/>
      </c>
      <c r="AP19" s="22">
        <f>Targets!AP37</f>
        <v/>
      </c>
      <c r="AQ19" s="22">
        <f>Targets!AQ37</f>
        <v/>
      </c>
      <c r="AR19" s="22">
        <f>Targets!AR37</f>
        <v/>
      </c>
      <c r="AS19" s="22">
        <f>Targets!AS37</f>
        <v/>
      </c>
      <c r="AT19" s="22">
        <f>Targets!AT37</f>
        <v/>
      </c>
      <c r="AU19" s="22">
        <f>Targets!AU37</f>
        <v/>
      </c>
      <c r="AV19" s="22">
        <f>Targets!AV37</f>
        <v/>
      </c>
      <c r="AW19" s="22">
        <f>Targets!AW37</f>
        <v/>
      </c>
      <c r="AX19" s="22">
        <f>Targets!AX37</f>
        <v/>
      </c>
    </row>
    <row r="20">
      <c r="A20" t="inlineStr">
        <is>
          <t>Offshore contractors — Actual</t>
        </is>
      </c>
      <c r="B20" s="5" t="inlineStr">
        <is>
          <t>$K · org input</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row>
    <row r="21">
      <c r="A21" t="inlineStr">
        <is>
          <t>Onshore contractors — Target</t>
        </is>
      </c>
      <c r="B21" s="5" t="inlineStr">
        <is>
          <t>$K · linked</t>
        </is>
      </c>
      <c r="C21" s="22">
        <f>Targets!C38</f>
        <v/>
      </c>
      <c r="D21" s="22">
        <f>Targets!D38</f>
        <v/>
      </c>
      <c r="E21" s="22">
        <f>Targets!E38</f>
        <v/>
      </c>
      <c r="F21" s="22">
        <f>Targets!F38</f>
        <v/>
      </c>
      <c r="G21" s="22">
        <f>Targets!G38</f>
        <v/>
      </c>
      <c r="H21" s="22">
        <f>Targets!H38</f>
        <v/>
      </c>
      <c r="I21" s="22">
        <f>Targets!I38</f>
        <v/>
      </c>
      <c r="J21" s="22">
        <f>Targets!J38</f>
        <v/>
      </c>
      <c r="K21" s="22">
        <f>Targets!K38</f>
        <v/>
      </c>
      <c r="L21" s="22">
        <f>Targets!L38</f>
        <v/>
      </c>
      <c r="M21" s="22">
        <f>Targets!M38</f>
        <v/>
      </c>
      <c r="N21" s="22">
        <f>Targets!N38</f>
        <v/>
      </c>
      <c r="O21" s="22">
        <f>Targets!O38</f>
        <v/>
      </c>
      <c r="P21" s="22">
        <f>Targets!P38</f>
        <v/>
      </c>
      <c r="Q21" s="22">
        <f>Targets!Q38</f>
        <v/>
      </c>
      <c r="R21" s="22">
        <f>Targets!R38</f>
        <v/>
      </c>
      <c r="S21" s="22">
        <f>Targets!S38</f>
        <v/>
      </c>
      <c r="T21" s="22">
        <f>Targets!T38</f>
        <v/>
      </c>
      <c r="U21" s="22">
        <f>Targets!U38</f>
        <v/>
      </c>
      <c r="V21" s="22">
        <f>Targets!V38</f>
        <v/>
      </c>
      <c r="W21" s="22">
        <f>Targets!W38</f>
        <v/>
      </c>
      <c r="X21" s="22">
        <f>Targets!X38</f>
        <v/>
      </c>
      <c r="Y21" s="22">
        <f>Targets!Y38</f>
        <v/>
      </c>
      <c r="Z21" s="22">
        <f>Targets!Z38</f>
        <v/>
      </c>
      <c r="AA21" s="22">
        <f>Targets!AA38</f>
        <v/>
      </c>
      <c r="AB21" s="22">
        <f>Targets!AB38</f>
        <v/>
      </c>
      <c r="AC21" s="22">
        <f>Targets!AC38</f>
        <v/>
      </c>
      <c r="AD21" s="22">
        <f>Targets!AD38</f>
        <v/>
      </c>
      <c r="AE21" s="22">
        <f>Targets!AE38</f>
        <v/>
      </c>
      <c r="AF21" s="22">
        <f>Targets!AF38</f>
        <v/>
      </c>
      <c r="AG21" s="22">
        <f>Targets!AG38</f>
        <v/>
      </c>
      <c r="AH21" s="22">
        <f>Targets!AH38</f>
        <v/>
      </c>
      <c r="AI21" s="22">
        <f>Targets!AI38</f>
        <v/>
      </c>
      <c r="AJ21" s="22">
        <f>Targets!AJ38</f>
        <v/>
      </c>
      <c r="AK21" s="22">
        <f>Targets!AK38</f>
        <v/>
      </c>
      <c r="AL21" s="22">
        <f>Targets!AL38</f>
        <v/>
      </c>
      <c r="AM21" s="22">
        <f>Targets!AM38</f>
        <v/>
      </c>
      <c r="AN21" s="22">
        <f>Targets!AN38</f>
        <v/>
      </c>
      <c r="AO21" s="22">
        <f>Targets!AO38</f>
        <v/>
      </c>
      <c r="AP21" s="22">
        <f>Targets!AP38</f>
        <v/>
      </c>
      <c r="AQ21" s="22">
        <f>Targets!AQ38</f>
        <v/>
      </c>
      <c r="AR21" s="22">
        <f>Targets!AR38</f>
        <v/>
      </c>
      <c r="AS21" s="22">
        <f>Targets!AS38</f>
        <v/>
      </c>
      <c r="AT21" s="22">
        <f>Targets!AT38</f>
        <v/>
      </c>
      <c r="AU21" s="22">
        <f>Targets!AU38</f>
        <v/>
      </c>
      <c r="AV21" s="22">
        <f>Targets!AV38</f>
        <v/>
      </c>
      <c r="AW21" s="22">
        <f>Targets!AW38</f>
        <v/>
      </c>
      <c r="AX21" s="22">
        <f>Targets!AX38</f>
        <v/>
      </c>
    </row>
    <row r="22">
      <c r="A22" t="inlineStr">
        <is>
          <t>Onshore contractors — Actual</t>
        </is>
      </c>
      <c r="B22" s="5" t="inlineStr">
        <is>
          <t>$K · org input</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row>
    <row r="23">
      <c r="A23" t="inlineStr">
        <is>
          <t>Employees / Other — Target</t>
        </is>
      </c>
      <c r="B23" s="5" t="inlineStr">
        <is>
          <t>$K · linked</t>
        </is>
      </c>
      <c r="C23" s="22">
        <f>Targets!C39</f>
        <v/>
      </c>
      <c r="D23" s="22">
        <f>Targets!D39</f>
        <v/>
      </c>
      <c r="E23" s="22">
        <f>Targets!E39</f>
        <v/>
      </c>
      <c r="F23" s="22">
        <f>Targets!F39</f>
        <v/>
      </c>
      <c r="G23" s="22">
        <f>Targets!G39</f>
        <v/>
      </c>
      <c r="H23" s="22">
        <f>Targets!H39</f>
        <v/>
      </c>
      <c r="I23" s="22">
        <f>Targets!I39</f>
        <v/>
      </c>
      <c r="J23" s="22">
        <f>Targets!J39</f>
        <v/>
      </c>
      <c r="K23" s="22">
        <f>Targets!K39</f>
        <v/>
      </c>
      <c r="L23" s="22">
        <f>Targets!L39</f>
        <v/>
      </c>
      <c r="M23" s="22">
        <f>Targets!M39</f>
        <v/>
      </c>
      <c r="N23" s="22">
        <f>Targets!N39</f>
        <v/>
      </c>
      <c r="O23" s="22">
        <f>Targets!O39</f>
        <v/>
      </c>
      <c r="P23" s="22">
        <f>Targets!P39</f>
        <v/>
      </c>
      <c r="Q23" s="22">
        <f>Targets!Q39</f>
        <v/>
      </c>
      <c r="R23" s="22">
        <f>Targets!R39</f>
        <v/>
      </c>
      <c r="S23" s="22">
        <f>Targets!S39</f>
        <v/>
      </c>
      <c r="T23" s="22">
        <f>Targets!T39</f>
        <v/>
      </c>
      <c r="U23" s="22">
        <f>Targets!U39</f>
        <v/>
      </c>
      <c r="V23" s="22">
        <f>Targets!V39</f>
        <v/>
      </c>
      <c r="W23" s="22">
        <f>Targets!W39</f>
        <v/>
      </c>
      <c r="X23" s="22">
        <f>Targets!X39</f>
        <v/>
      </c>
      <c r="Y23" s="22">
        <f>Targets!Y39</f>
        <v/>
      </c>
      <c r="Z23" s="22">
        <f>Targets!Z39</f>
        <v/>
      </c>
      <c r="AA23" s="22">
        <f>Targets!AA39</f>
        <v/>
      </c>
      <c r="AB23" s="22">
        <f>Targets!AB39</f>
        <v/>
      </c>
      <c r="AC23" s="22">
        <f>Targets!AC39</f>
        <v/>
      </c>
      <c r="AD23" s="22">
        <f>Targets!AD39</f>
        <v/>
      </c>
      <c r="AE23" s="22">
        <f>Targets!AE39</f>
        <v/>
      </c>
      <c r="AF23" s="22">
        <f>Targets!AF39</f>
        <v/>
      </c>
      <c r="AG23" s="22">
        <f>Targets!AG39</f>
        <v/>
      </c>
      <c r="AH23" s="22">
        <f>Targets!AH39</f>
        <v/>
      </c>
      <c r="AI23" s="22">
        <f>Targets!AI39</f>
        <v/>
      </c>
      <c r="AJ23" s="22">
        <f>Targets!AJ39</f>
        <v/>
      </c>
      <c r="AK23" s="22">
        <f>Targets!AK39</f>
        <v/>
      </c>
      <c r="AL23" s="22">
        <f>Targets!AL39</f>
        <v/>
      </c>
      <c r="AM23" s="22">
        <f>Targets!AM39</f>
        <v/>
      </c>
      <c r="AN23" s="22">
        <f>Targets!AN39</f>
        <v/>
      </c>
      <c r="AO23" s="22">
        <f>Targets!AO39</f>
        <v/>
      </c>
      <c r="AP23" s="22">
        <f>Targets!AP39</f>
        <v/>
      </c>
      <c r="AQ23" s="22">
        <f>Targets!AQ39</f>
        <v/>
      </c>
      <c r="AR23" s="22">
        <f>Targets!AR39</f>
        <v/>
      </c>
      <c r="AS23" s="22">
        <f>Targets!AS39</f>
        <v/>
      </c>
      <c r="AT23" s="22">
        <f>Targets!AT39</f>
        <v/>
      </c>
      <c r="AU23" s="22">
        <f>Targets!AU39</f>
        <v/>
      </c>
      <c r="AV23" s="22">
        <f>Targets!AV39</f>
        <v/>
      </c>
      <c r="AW23" s="22">
        <f>Targets!AW39</f>
        <v/>
      </c>
      <c r="AX23" s="22">
        <f>Targets!AX39</f>
        <v/>
      </c>
    </row>
    <row r="24">
      <c r="A24" t="inlineStr">
        <is>
          <t>Employees / Other — Actual</t>
        </is>
      </c>
      <c r="B24" s="5" t="inlineStr">
        <is>
          <t>$K · org input</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row>
    <row r="25">
      <c r="A25" t="inlineStr">
        <is>
          <t>Total gross reductions — Target</t>
        </is>
      </c>
      <c r="B25" s="5" t="inlineStr">
        <is>
          <t>$K · auto</t>
        </is>
      </c>
      <c r="C25" s="15">
        <f>C17+C19+C21+C23</f>
        <v/>
      </c>
      <c r="D25" s="15">
        <f>D17+D19+D21+D23</f>
        <v/>
      </c>
      <c r="E25" s="15">
        <f>E17+E19+E21+E23</f>
        <v/>
      </c>
      <c r="F25" s="15">
        <f>F17+F19+F21+F23</f>
        <v/>
      </c>
      <c r="G25" s="15">
        <f>G17+G19+G21+G23</f>
        <v/>
      </c>
      <c r="H25" s="15">
        <f>H17+H19+H21+H23</f>
        <v/>
      </c>
      <c r="I25" s="15">
        <f>I17+I19+I21+I23</f>
        <v/>
      </c>
      <c r="J25" s="15">
        <f>J17+J19+J21+J23</f>
        <v/>
      </c>
      <c r="K25" s="15">
        <f>K17+K19+K21+K23</f>
        <v/>
      </c>
      <c r="L25" s="15">
        <f>L17+L19+L21+L23</f>
        <v/>
      </c>
      <c r="M25" s="15">
        <f>M17+M19+M21+M23</f>
        <v/>
      </c>
      <c r="N25" s="15">
        <f>N17+N19+N21+N23</f>
        <v/>
      </c>
      <c r="O25" s="15">
        <f>O17+O19+O21+O23</f>
        <v/>
      </c>
      <c r="P25" s="15">
        <f>P17+P19+P21+P23</f>
        <v/>
      </c>
      <c r="Q25" s="15">
        <f>Q17+Q19+Q21+Q23</f>
        <v/>
      </c>
      <c r="R25" s="15">
        <f>R17+R19+R21+R23</f>
        <v/>
      </c>
      <c r="S25" s="15">
        <f>S17+S19+S21+S23</f>
        <v/>
      </c>
      <c r="T25" s="15">
        <f>T17+T19+T21+T23</f>
        <v/>
      </c>
      <c r="U25" s="15">
        <f>U17+U19+U21+U23</f>
        <v/>
      </c>
      <c r="V25" s="15">
        <f>V17+V19+V21+V23</f>
        <v/>
      </c>
      <c r="W25" s="15">
        <f>W17+W19+W21+W23</f>
        <v/>
      </c>
      <c r="X25" s="15">
        <f>X17+X19+X21+X23</f>
        <v/>
      </c>
      <c r="Y25" s="15">
        <f>Y17+Y19+Y21+Y23</f>
        <v/>
      </c>
      <c r="Z25" s="15">
        <f>Z17+Z19+Z21+Z23</f>
        <v/>
      </c>
      <c r="AA25" s="15">
        <f>AA17+AA19+AA21+AA23</f>
        <v/>
      </c>
      <c r="AB25" s="15">
        <f>AB17+AB19+AB21+AB23</f>
        <v/>
      </c>
      <c r="AC25" s="15">
        <f>AC17+AC19+AC21+AC23</f>
        <v/>
      </c>
      <c r="AD25" s="15">
        <f>AD17+AD19+AD21+AD23</f>
        <v/>
      </c>
      <c r="AE25" s="15">
        <f>AE17+AE19+AE21+AE23</f>
        <v/>
      </c>
      <c r="AF25" s="15">
        <f>AF17+AF19+AF21+AF23</f>
        <v/>
      </c>
      <c r="AG25" s="15">
        <f>AG17+AG19+AG21+AG23</f>
        <v/>
      </c>
      <c r="AH25" s="15">
        <f>AH17+AH19+AH21+AH23</f>
        <v/>
      </c>
      <c r="AI25" s="15">
        <f>AI17+AI19+AI21+AI23</f>
        <v/>
      </c>
      <c r="AJ25" s="15">
        <f>AJ17+AJ19+AJ21+AJ23</f>
        <v/>
      </c>
      <c r="AK25" s="15">
        <f>AK17+AK19+AK21+AK23</f>
        <v/>
      </c>
      <c r="AL25" s="15">
        <f>AL17+AL19+AL21+AL23</f>
        <v/>
      </c>
      <c r="AM25" s="15">
        <f>AM17+AM19+AM21+AM23</f>
        <v/>
      </c>
      <c r="AN25" s="15">
        <f>AN17+AN19+AN21+AN23</f>
        <v/>
      </c>
      <c r="AO25" s="15">
        <f>AO17+AO19+AO21+AO23</f>
        <v/>
      </c>
      <c r="AP25" s="15">
        <f>AP17+AP19+AP21+AP23</f>
        <v/>
      </c>
      <c r="AQ25" s="15">
        <f>AQ17+AQ19+AQ21+AQ23</f>
        <v/>
      </c>
      <c r="AR25" s="15">
        <f>AR17+AR19+AR21+AR23</f>
        <v/>
      </c>
      <c r="AS25" s="15">
        <f>AS17+AS19+AS21+AS23</f>
        <v/>
      </c>
      <c r="AT25" s="15">
        <f>AT17+AT19+AT21+AT23</f>
        <v/>
      </c>
      <c r="AU25" s="15">
        <f>AU17+AU19+AU21+AU23</f>
        <v/>
      </c>
      <c r="AV25" s="15">
        <f>AV17+AV19+AV21+AV23</f>
        <v/>
      </c>
      <c r="AW25" s="15">
        <f>AW17+AW19+AW21+AW23</f>
        <v/>
      </c>
      <c r="AX25" s="15">
        <f>AX17+AX19+AX21+AX23</f>
        <v/>
      </c>
    </row>
    <row r="26">
      <c r="A26" t="inlineStr">
        <is>
          <t>Total gross reductions — Actual</t>
        </is>
      </c>
      <c r="B26" s="5" t="inlineStr">
        <is>
          <t>$K · auto</t>
        </is>
      </c>
      <c r="C26" s="15">
        <f>C18+C20+C22+C24</f>
        <v/>
      </c>
      <c r="D26" s="15">
        <f>D18+D20+D22+D24</f>
        <v/>
      </c>
      <c r="E26" s="15">
        <f>E18+E20+E22+E24</f>
        <v/>
      </c>
      <c r="F26" s="15">
        <f>F18+F20+F22+F24</f>
        <v/>
      </c>
      <c r="G26" s="15">
        <f>G18+G20+G22+G24</f>
        <v/>
      </c>
      <c r="H26" s="15">
        <f>H18+H20+H22+H24</f>
        <v/>
      </c>
      <c r="I26" s="15">
        <f>I18+I20+I22+I24</f>
        <v/>
      </c>
      <c r="J26" s="15">
        <f>J18+J20+J22+J24</f>
        <v/>
      </c>
      <c r="K26" s="15">
        <f>K18+K20+K22+K24</f>
        <v/>
      </c>
      <c r="L26" s="15">
        <f>L18+L20+L22+L24</f>
        <v/>
      </c>
      <c r="M26" s="15">
        <f>M18+M20+M22+M24</f>
        <v/>
      </c>
      <c r="N26" s="15">
        <f>N18+N20+N22+N24</f>
        <v/>
      </c>
      <c r="O26" s="15">
        <f>O18+O20+O22+O24</f>
        <v/>
      </c>
      <c r="P26" s="15">
        <f>P18+P20+P22+P24</f>
        <v/>
      </c>
      <c r="Q26" s="15">
        <f>Q18+Q20+Q22+Q24</f>
        <v/>
      </c>
      <c r="R26" s="15">
        <f>R18+R20+R22+R24</f>
        <v/>
      </c>
      <c r="S26" s="15">
        <f>S18+S20+S22+S24</f>
        <v/>
      </c>
      <c r="T26" s="15">
        <f>T18+T20+T22+T24</f>
        <v/>
      </c>
      <c r="U26" s="15">
        <f>U18+U20+U22+U24</f>
        <v/>
      </c>
      <c r="V26" s="15">
        <f>V18+V20+V22+V24</f>
        <v/>
      </c>
      <c r="W26" s="15">
        <f>W18+W20+W22+W24</f>
        <v/>
      </c>
      <c r="X26" s="15">
        <f>X18+X20+X22+X24</f>
        <v/>
      </c>
      <c r="Y26" s="15">
        <f>Y18+Y20+Y22+Y24</f>
        <v/>
      </c>
      <c r="Z26" s="15">
        <f>Z18+Z20+Z22+Z24</f>
        <v/>
      </c>
      <c r="AA26" s="15">
        <f>AA18+AA20+AA22+AA24</f>
        <v/>
      </c>
      <c r="AB26" s="15">
        <f>AB18+AB20+AB22+AB24</f>
        <v/>
      </c>
      <c r="AC26" s="15">
        <f>AC18+AC20+AC22+AC24</f>
        <v/>
      </c>
      <c r="AD26" s="15">
        <f>AD18+AD20+AD22+AD24</f>
        <v/>
      </c>
      <c r="AE26" s="15">
        <f>AE18+AE20+AE22+AE24</f>
        <v/>
      </c>
      <c r="AF26" s="15">
        <f>AF18+AF20+AF22+AF24</f>
        <v/>
      </c>
      <c r="AG26" s="15">
        <f>AG18+AG20+AG22+AG24</f>
        <v/>
      </c>
      <c r="AH26" s="15">
        <f>AH18+AH20+AH22+AH24</f>
        <v/>
      </c>
      <c r="AI26" s="15">
        <f>AI18+AI20+AI22+AI24</f>
        <v/>
      </c>
      <c r="AJ26" s="15">
        <f>AJ18+AJ20+AJ22+AJ24</f>
        <v/>
      </c>
      <c r="AK26" s="15">
        <f>AK18+AK20+AK22+AK24</f>
        <v/>
      </c>
      <c r="AL26" s="15">
        <f>AL18+AL20+AL22+AL24</f>
        <v/>
      </c>
      <c r="AM26" s="15">
        <f>AM18+AM20+AM22+AM24</f>
        <v/>
      </c>
      <c r="AN26" s="15">
        <f>AN18+AN20+AN22+AN24</f>
        <v/>
      </c>
      <c r="AO26" s="15">
        <f>AO18+AO20+AO22+AO24</f>
        <v/>
      </c>
      <c r="AP26" s="15">
        <f>AP18+AP20+AP22+AP24</f>
        <v/>
      </c>
      <c r="AQ26" s="15">
        <f>AQ18+AQ20+AQ22+AQ24</f>
        <v/>
      </c>
      <c r="AR26" s="15">
        <f>AR18+AR20+AR22+AR24</f>
        <v/>
      </c>
      <c r="AS26" s="15">
        <f>AS18+AS20+AS22+AS24</f>
        <v/>
      </c>
      <c r="AT26" s="15">
        <f>AT18+AT20+AT22+AT24</f>
        <v/>
      </c>
      <c r="AU26" s="15">
        <f>AU18+AU20+AU22+AU24</f>
        <v/>
      </c>
      <c r="AV26" s="15">
        <f>AV18+AV20+AV22+AV24</f>
        <v/>
      </c>
      <c r="AW26" s="15">
        <f>AW18+AW20+AW22+AW24</f>
        <v/>
      </c>
      <c r="AX26" s="15">
        <f>AX18+AX20+AX22+AX24</f>
        <v/>
      </c>
    </row>
    <row r="27">
      <c r="A27" t="inlineStr">
        <is>
          <t>Gross reductions variance</t>
        </is>
      </c>
      <c r="B27" s="5" t="inlineStr">
        <is>
          <t>$K · auto</t>
        </is>
      </c>
      <c r="C27" s="24">
        <f>C26-C25</f>
        <v/>
      </c>
      <c r="D27" s="24">
        <f>D26-D25</f>
        <v/>
      </c>
      <c r="E27" s="24">
        <f>E26-E25</f>
        <v/>
      </c>
      <c r="F27" s="24">
        <f>F26-F25</f>
        <v/>
      </c>
      <c r="G27" s="24">
        <f>G26-G25</f>
        <v/>
      </c>
      <c r="H27" s="24">
        <f>H26-H25</f>
        <v/>
      </c>
      <c r="I27" s="24">
        <f>I26-I25</f>
        <v/>
      </c>
      <c r="J27" s="24">
        <f>J26-J25</f>
        <v/>
      </c>
      <c r="K27" s="24">
        <f>K26-K25</f>
        <v/>
      </c>
      <c r="L27" s="24">
        <f>L26-L25</f>
        <v/>
      </c>
      <c r="M27" s="24">
        <f>M26-M25</f>
        <v/>
      </c>
      <c r="N27" s="24">
        <f>N26-N25</f>
        <v/>
      </c>
      <c r="O27" s="24">
        <f>O26-O25</f>
        <v/>
      </c>
      <c r="P27" s="24">
        <f>P26-P25</f>
        <v/>
      </c>
      <c r="Q27" s="24">
        <f>Q26-Q25</f>
        <v/>
      </c>
      <c r="R27" s="24">
        <f>R26-R25</f>
        <v/>
      </c>
      <c r="S27" s="24">
        <f>S26-S25</f>
        <v/>
      </c>
      <c r="T27" s="24">
        <f>T26-T25</f>
        <v/>
      </c>
      <c r="U27" s="24">
        <f>U26-U25</f>
        <v/>
      </c>
      <c r="V27" s="24">
        <f>V26-V25</f>
        <v/>
      </c>
      <c r="W27" s="24">
        <f>W26-W25</f>
        <v/>
      </c>
      <c r="X27" s="24">
        <f>X26-X25</f>
        <v/>
      </c>
      <c r="Y27" s="24">
        <f>Y26-Y25</f>
        <v/>
      </c>
      <c r="Z27" s="24">
        <f>Z26-Z25</f>
        <v/>
      </c>
      <c r="AA27" s="24">
        <f>AA26-AA25</f>
        <v/>
      </c>
      <c r="AB27" s="24">
        <f>AB26-AB25</f>
        <v/>
      </c>
      <c r="AC27" s="24">
        <f>AC26-AC25</f>
        <v/>
      </c>
      <c r="AD27" s="24">
        <f>AD26-AD25</f>
        <v/>
      </c>
      <c r="AE27" s="24">
        <f>AE26-AE25</f>
        <v/>
      </c>
      <c r="AF27" s="24">
        <f>AF26-AF25</f>
        <v/>
      </c>
      <c r="AG27" s="24">
        <f>AG26-AG25</f>
        <v/>
      </c>
      <c r="AH27" s="24">
        <f>AH26-AH25</f>
        <v/>
      </c>
      <c r="AI27" s="24">
        <f>AI26-AI25</f>
        <v/>
      </c>
      <c r="AJ27" s="24">
        <f>AJ26-AJ25</f>
        <v/>
      </c>
      <c r="AK27" s="24">
        <f>AK26-AK25</f>
        <v/>
      </c>
      <c r="AL27" s="24">
        <f>AL26-AL25</f>
        <v/>
      </c>
      <c r="AM27" s="24">
        <f>AM26-AM25</f>
        <v/>
      </c>
      <c r="AN27" s="24">
        <f>AN26-AN25</f>
        <v/>
      </c>
      <c r="AO27" s="24">
        <f>AO26-AO25</f>
        <v/>
      </c>
      <c r="AP27" s="24">
        <f>AP26-AP25</f>
        <v/>
      </c>
      <c r="AQ27" s="24">
        <f>AQ26-AQ25</f>
        <v/>
      </c>
      <c r="AR27" s="24">
        <f>AR26-AR25</f>
        <v/>
      </c>
      <c r="AS27" s="24">
        <f>AS26-AS25</f>
        <v/>
      </c>
      <c r="AT27" s="24">
        <f>AT26-AT25</f>
        <v/>
      </c>
      <c r="AU27" s="24">
        <f>AU26-AU25</f>
        <v/>
      </c>
      <c r="AV27" s="24">
        <f>AV26-AV25</f>
        <v/>
      </c>
      <c r="AW27" s="24">
        <f>AW26-AW25</f>
        <v/>
      </c>
      <c r="AX27" s="24">
        <f>AX26-AX25</f>
        <v/>
      </c>
    </row>
    <row r="28">
      <c r="A28" t="inlineStr">
        <is>
          <t>Headcount reduced in month — Actual</t>
        </is>
      </c>
      <c r="B28" s="5" t="inlineStr">
        <is>
          <t>heads · org input</t>
        </is>
      </c>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c r="Z28" s="25" t="n"/>
      <c r="AA28" s="25" t="n"/>
      <c r="AB28" s="25" t="n"/>
      <c r="AC28" s="25" t="n"/>
      <c r="AD28" s="25" t="n"/>
      <c r="AE28" s="25" t="n"/>
      <c r="AF28" s="25" t="n"/>
      <c r="AG28" s="25" t="n"/>
      <c r="AH28" s="25" t="n"/>
      <c r="AI28" s="25" t="n"/>
      <c r="AJ28" s="25" t="n"/>
      <c r="AK28" s="25" t="n"/>
      <c r="AL28" s="25" t="n"/>
      <c r="AM28" s="25" t="n"/>
      <c r="AN28" s="25" t="n"/>
      <c r="AO28" s="25" t="n"/>
      <c r="AP28" s="25" t="n"/>
      <c r="AQ28" s="25" t="n"/>
      <c r="AR28" s="25" t="n"/>
      <c r="AS28" s="25" t="n"/>
      <c r="AT28" s="25" t="n"/>
      <c r="AU28" s="25" t="n"/>
      <c r="AV28" s="25" t="n"/>
      <c r="AW28" s="25" t="n"/>
      <c r="AX28" s="25" t="n"/>
    </row>
    <row r="29">
      <c r="A29" t="inlineStr">
        <is>
          <t>Exit run-rate of reductions (annualized)</t>
        </is>
      </c>
      <c r="B29" s="5" t="inlineStr">
        <is>
          <t>$K · org input</t>
        </is>
      </c>
      <c r="C29" s="23" t="n"/>
      <c r="D29" s="23" t="n"/>
      <c r="E29" s="23" t="n"/>
      <c r="F29" s="23" t="n"/>
      <c r="G29" s="23" t="n"/>
      <c r="H29" s="23" t="n"/>
      <c r="I29" s="23" t="n"/>
      <c r="J29" s="23" t="n"/>
      <c r="K29" s="23" t="n"/>
      <c r="L29" s="23" t="n"/>
      <c r="M29" s="23" t="n"/>
      <c r="N29" s="23" t="n"/>
      <c r="O29" s="23" t="n"/>
      <c r="P29" s="23" t="n"/>
      <c r="Q29" s="23" t="n"/>
      <c r="R29" s="23" t="n"/>
      <c r="S29" s="23" t="n"/>
      <c r="T29" s="23" t="n"/>
      <c r="U29" s="23" t="n"/>
      <c r="V29" s="23" t="n"/>
      <c r="W29" s="23" t="n"/>
      <c r="X29" s="23" t="n"/>
      <c r="Y29" s="23" t="n"/>
      <c r="Z29" s="23" t="n"/>
      <c r="AA29" s="23" t="n"/>
      <c r="AB29" s="23" t="n"/>
      <c r="AC29" s="23" t="n"/>
      <c r="AD29" s="23" t="n"/>
      <c r="AE29" s="23" t="n"/>
      <c r="AF29" s="23" t="n"/>
      <c r="AG29" s="23" t="n"/>
      <c r="AH29" s="23" t="n"/>
      <c r="AI29" s="23" t="n"/>
      <c r="AJ29" s="23" t="n"/>
      <c r="AK29" s="23" t="n"/>
      <c r="AL29" s="23" t="n"/>
      <c r="AM29" s="23" t="n"/>
      <c r="AN29" s="23" t="n"/>
      <c r="AO29" s="23" t="n"/>
      <c r="AP29" s="23" t="n"/>
      <c r="AQ29" s="23" t="n"/>
      <c r="AR29" s="23" t="n"/>
      <c r="AS29" s="23" t="n"/>
      <c r="AT29" s="23" t="n"/>
      <c r="AU29" s="23" t="n"/>
      <c r="AV29" s="23" t="n"/>
      <c r="AW29" s="23" t="n"/>
      <c r="AX29" s="23" t="n"/>
    </row>
    <row r="30">
      <c r="A30" s="11" t="inlineStr">
        <is>
          <t>C.  INDIA COST ADDS</t>
        </is>
      </c>
      <c r="B30" s="16" t="inlineStr"/>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row>
    <row r="31">
      <c r="A31" t="inlineStr">
        <is>
          <t>India loaded cost adds — Target</t>
        </is>
      </c>
      <c r="B31" s="5" t="inlineStr">
        <is>
          <t>$K · linked</t>
        </is>
      </c>
      <c r="C31" s="22">
        <f>Targets!C40</f>
        <v/>
      </c>
      <c r="D31" s="22">
        <f>Targets!D40</f>
        <v/>
      </c>
      <c r="E31" s="22">
        <f>Targets!E40</f>
        <v/>
      </c>
      <c r="F31" s="22">
        <f>Targets!F40</f>
        <v/>
      </c>
      <c r="G31" s="22">
        <f>Targets!G40</f>
        <v/>
      </c>
      <c r="H31" s="22">
        <f>Targets!H40</f>
        <v/>
      </c>
      <c r="I31" s="22">
        <f>Targets!I40</f>
        <v/>
      </c>
      <c r="J31" s="22">
        <f>Targets!J40</f>
        <v/>
      </c>
      <c r="K31" s="22">
        <f>Targets!K40</f>
        <v/>
      </c>
      <c r="L31" s="22">
        <f>Targets!L40</f>
        <v/>
      </c>
      <c r="M31" s="22">
        <f>Targets!M40</f>
        <v/>
      </c>
      <c r="N31" s="22">
        <f>Targets!N40</f>
        <v/>
      </c>
      <c r="O31" s="22">
        <f>Targets!O40</f>
        <v/>
      </c>
      <c r="P31" s="22">
        <f>Targets!P40</f>
        <v/>
      </c>
      <c r="Q31" s="22">
        <f>Targets!Q40</f>
        <v/>
      </c>
      <c r="R31" s="22">
        <f>Targets!R40</f>
        <v/>
      </c>
      <c r="S31" s="22">
        <f>Targets!S40</f>
        <v/>
      </c>
      <c r="T31" s="22">
        <f>Targets!T40</f>
        <v/>
      </c>
      <c r="U31" s="22">
        <f>Targets!U40</f>
        <v/>
      </c>
      <c r="V31" s="22">
        <f>Targets!V40</f>
        <v/>
      </c>
      <c r="W31" s="22">
        <f>Targets!W40</f>
        <v/>
      </c>
      <c r="X31" s="22">
        <f>Targets!X40</f>
        <v/>
      </c>
      <c r="Y31" s="22">
        <f>Targets!Y40</f>
        <v/>
      </c>
      <c r="Z31" s="22">
        <f>Targets!Z40</f>
        <v/>
      </c>
      <c r="AA31" s="22">
        <f>Targets!AA40</f>
        <v/>
      </c>
      <c r="AB31" s="22">
        <f>Targets!AB40</f>
        <v/>
      </c>
      <c r="AC31" s="22">
        <f>Targets!AC40</f>
        <v/>
      </c>
      <c r="AD31" s="22">
        <f>Targets!AD40</f>
        <v/>
      </c>
      <c r="AE31" s="22">
        <f>Targets!AE40</f>
        <v/>
      </c>
      <c r="AF31" s="22">
        <f>Targets!AF40</f>
        <v/>
      </c>
      <c r="AG31" s="22">
        <f>Targets!AG40</f>
        <v/>
      </c>
      <c r="AH31" s="22">
        <f>Targets!AH40</f>
        <v/>
      </c>
      <c r="AI31" s="22">
        <f>Targets!AI40</f>
        <v/>
      </c>
      <c r="AJ31" s="22">
        <f>Targets!AJ40</f>
        <v/>
      </c>
      <c r="AK31" s="22">
        <f>Targets!AK40</f>
        <v/>
      </c>
      <c r="AL31" s="22">
        <f>Targets!AL40</f>
        <v/>
      </c>
      <c r="AM31" s="22">
        <f>Targets!AM40</f>
        <v/>
      </c>
      <c r="AN31" s="22">
        <f>Targets!AN40</f>
        <v/>
      </c>
      <c r="AO31" s="22">
        <f>Targets!AO40</f>
        <v/>
      </c>
      <c r="AP31" s="22">
        <f>Targets!AP40</f>
        <v/>
      </c>
      <c r="AQ31" s="22">
        <f>Targets!AQ40</f>
        <v/>
      </c>
      <c r="AR31" s="22">
        <f>Targets!AR40</f>
        <v/>
      </c>
      <c r="AS31" s="22">
        <f>Targets!AS40</f>
        <v/>
      </c>
      <c r="AT31" s="22">
        <f>Targets!AT40</f>
        <v/>
      </c>
      <c r="AU31" s="22">
        <f>Targets!AU40</f>
        <v/>
      </c>
      <c r="AV31" s="22">
        <f>Targets!AV40</f>
        <v/>
      </c>
      <c r="AW31" s="22">
        <f>Targets!AW40</f>
        <v/>
      </c>
      <c r="AX31" s="22">
        <f>Targets!AX40</f>
        <v/>
      </c>
    </row>
    <row r="32">
      <c r="A32" t="inlineStr">
        <is>
          <t>India loaded cost adds — Actual</t>
        </is>
      </c>
      <c r="B32" s="5" t="inlineStr">
        <is>
          <t>$K · org input</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row>
    <row r="33">
      <c r="A33" t="inlineStr">
        <is>
          <t>One-time transition costs (memo — never net)</t>
        </is>
      </c>
      <c r="B33" s="5" t="inlineStr">
        <is>
          <t>$K · org input</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row>
    <row r="34">
      <c r="A34" s="11" t="inlineStr">
        <is>
          <t>D.  NET LABOR ARBITRAGE  (B − C)</t>
        </is>
      </c>
      <c r="B34" s="16" t="inlineStr"/>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row>
    <row r="35">
      <c r="A35" t="inlineStr">
        <is>
          <t>Net labor arbitrage — Target</t>
        </is>
      </c>
      <c r="B35" s="5" t="inlineStr">
        <is>
          <t>$K · linked</t>
        </is>
      </c>
      <c r="C35" s="22">
        <f>Targets!C41</f>
        <v/>
      </c>
      <c r="D35" s="22">
        <f>Targets!D41</f>
        <v/>
      </c>
      <c r="E35" s="22">
        <f>Targets!E41</f>
        <v/>
      </c>
      <c r="F35" s="22">
        <f>Targets!F41</f>
        <v/>
      </c>
      <c r="G35" s="22">
        <f>Targets!G41</f>
        <v/>
      </c>
      <c r="H35" s="22">
        <f>Targets!H41</f>
        <v/>
      </c>
      <c r="I35" s="22">
        <f>Targets!I41</f>
        <v/>
      </c>
      <c r="J35" s="22">
        <f>Targets!J41</f>
        <v/>
      </c>
      <c r="K35" s="22">
        <f>Targets!K41</f>
        <v/>
      </c>
      <c r="L35" s="22">
        <f>Targets!L41</f>
        <v/>
      </c>
      <c r="M35" s="22">
        <f>Targets!M41</f>
        <v/>
      </c>
      <c r="N35" s="22">
        <f>Targets!N41</f>
        <v/>
      </c>
      <c r="O35" s="22">
        <f>Targets!O41</f>
        <v/>
      </c>
      <c r="P35" s="22">
        <f>Targets!P41</f>
        <v/>
      </c>
      <c r="Q35" s="22">
        <f>Targets!Q41</f>
        <v/>
      </c>
      <c r="R35" s="22">
        <f>Targets!R41</f>
        <v/>
      </c>
      <c r="S35" s="22">
        <f>Targets!S41</f>
        <v/>
      </c>
      <c r="T35" s="22">
        <f>Targets!T41</f>
        <v/>
      </c>
      <c r="U35" s="22">
        <f>Targets!U41</f>
        <v/>
      </c>
      <c r="V35" s="22">
        <f>Targets!V41</f>
        <v/>
      </c>
      <c r="W35" s="22">
        <f>Targets!W41</f>
        <v/>
      </c>
      <c r="X35" s="22">
        <f>Targets!X41</f>
        <v/>
      </c>
      <c r="Y35" s="22">
        <f>Targets!Y41</f>
        <v/>
      </c>
      <c r="Z35" s="22">
        <f>Targets!Z41</f>
        <v/>
      </c>
      <c r="AA35" s="22">
        <f>Targets!AA41</f>
        <v/>
      </c>
      <c r="AB35" s="22">
        <f>Targets!AB41</f>
        <v/>
      </c>
      <c r="AC35" s="22">
        <f>Targets!AC41</f>
        <v/>
      </c>
      <c r="AD35" s="22">
        <f>Targets!AD41</f>
        <v/>
      </c>
      <c r="AE35" s="22">
        <f>Targets!AE41</f>
        <v/>
      </c>
      <c r="AF35" s="22">
        <f>Targets!AF41</f>
        <v/>
      </c>
      <c r="AG35" s="22">
        <f>Targets!AG41</f>
        <v/>
      </c>
      <c r="AH35" s="22">
        <f>Targets!AH41</f>
        <v/>
      </c>
      <c r="AI35" s="22">
        <f>Targets!AI41</f>
        <v/>
      </c>
      <c r="AJ35" s="22">
        <f>Targets!AJ41</f>
        <v/>
      </c>
      <c r="AK35" s="22">
        <f>Targets!AK41</f>
        <v/>
      </c>
      <c r="AL35" s="22">
        <f>Targets!AL41</f>
        <v/>
      </c>
      <c r="AM35" s="22">
        <f>Targets!AM41</f>
        <v/>
      </c>
      <c r="AN35" s="22">
        <f>Targets!AN41</f>
        <v/>
      </c>
      <c r="AO35" s="22">
        <f>Targets!AO41</f>
        <v/>
      </c>
      <c r="AP35" s="22">
        <f>Targets!AP41</f>
        <v/>
      </c>
      <c r="AQ35" s="22">
        <f>Targets!AQ41</f>
        <v/>
      </c>
      <c r="AR35" s="22">
        <f>Targets!AR41</f>
        <v/>
      </c>
      <c r="AS35" s="22">
        <f>Targets!AS41</f>
        <v/>
      </c>
      <c r="AT35" s="22">
        <f>Targets!AT41</f>
        <v/>
      </c>
      <c r="AU35" s="22">
        <f>Targets!AU41</f>
        <v/>
      </c>
      <c r="AV35" s="22">
        <f>Targets!AV41</f>
        <v/>
      </c>
      <c r="AW35" s="22">
        <f>Targets!AW41</f>
        <v/>
      </c>
      <c r="AX35" s="22">
        <f>Targets!AX41</f>
        <v/>
      </c>
    </row>
    <row r="36">
      <c r="A36" t="inlineStr">
        <is>
          <t>Net labor arbitrage — Actual</t>
        </is>
      </c>
      <c r="B36" s="5" t="inlineStr">
        <is>
          <t>$K · auto</t>
        </is>
      </c>
      <c r="C36" s="15">
        <f>C26-C32</f>
        <v/>
      </c>
      <c r="D36" s="15">
        <f>D26-D32</f>
        <v/>
      </c>
      <c r="E36" s="15">
        <f>E26-E32</f>
        <v/>
      </c>
      <c r="F36" s="15">
        <f>F26-F32</f>
        <v/>
      </c>
      <c r="G36" s="15">
        <f>G26-G32</f>
        <v/>
      </c>
      <c r="H36" s="15">
        <f>H26-H32</f>
        <v/>
      </c>
      <c r="I36" s="15">
        <f>I26-I32</f>
        <v/>
      </c>
      <c r="J36" s="15">
        <f>J26-J32</f>
        <v/>
      </c>
      <c r="K36" s="15">
        <f>K26-K32</f>
        <v/>
      </c>
      <c r="L36" s="15">
        <f>L26-L32</f>
        <v/>
      </c>
      <c r="M36" s="15">
        <f>M26-M32</f>
        <v/>
      </c>
      <c r="N36" s="15">
        <f>N26-N32</f>
        <v/>
      </c>
      <c r="O36" s="15">
        <f>O26-O32</f>
        <v/>
      </c>
      <c r="P36" s="15">
        <f>P26-P32</f>
        <v/>
      </c>
      <c r="Q36" s="15">
        <f>Q26-Q32</f>
        <v/>
      </c>
      <c r="R36" s="15">
        <f>R26-R32</f>
        <v/>
      </c>
      <c r="S36" s="15">
        <f>S26-S32</f>
        <v/>
      </c>
      <c r="T36" s="15">
        <f>T26-T32</f>
        <v/>
      </c>
      <c r="U36" s="15">
        <f>U26-U32</f>
        <v/>
      </c>
      <c r="V36" s="15">
        <f>V26-V32</f>
        <v/>
      </c>
      <c r="W36" s="15">
        <f>W26-W32</f>
        <v/>
      </c>
      <c r="X36" s="15">
        <f>X26-X32</f>
        <v/>
      </c>
      <c r="Y36" s="15">
        <f>Y26-Y32</f>
        <v/>
      </c>
      <c r="Z36" s="15">
        <f>Z26-Z32</f>
        <v/>
      </c>
      <c r="AA36" s="15">
        <f>AA26-AA32</f>
        <v/>
      </c>
      <c r="AB36" s="15">
        <f>AB26-AB32</f>
        <v/>
      </c>
      <c r="AC36" s="15">
        <f>AC26-AC32</f>
        <v/>
      </c>
      <c r="AD36" s="15">
        <f>AD26-AD32</f>
        <v/>
      </c>
      <c r="AE36" s="15">
        <f>AE26-AE32</f>
        <v/>
      </c>
      <c r="AF36" s="15">
        <f>AF26-AF32</f>
        <v/>
      </c>
      <c r="AG36" s="15">
        <f>AG26-AG32</f>
        <v/>
      </c>
      <c r="AH36" s="15">
        <f>AH26-AH32</f>
        <v/>
      </c>
      <c r="AI36" s="15">
        <f>AI26-AI32</f>
        <v/>
      </c>
      <c r="AJ36" s="15">
        <f>AJ26-AJ32</f>
        <v/>
      </c>
      <c r="AK36" s="15">
        <f>AK26-AK32</f>
        <v/>
      </c>
      <c r="AL36" s="15">
        <f>AL26-AL32</f>
        <v/>
      </c>
      <c r="AM36" s="15">
        <f>AM26-AM32</f>
        <v/>
      </c>
      <c r="AN36" s="15">
        <f>AN26-AN32</f>
        <v/>
      </c>
      <c r="AO36" s="15">
        <f>AO26-AO32</f>
        <v/>
      </c>
      <c r="AP36" s="15">
        <f>AP26-AP32</f>
        <v/>
      </c>
      <c r="AQ36" s="15">
        <f>AQ26-AQ32</f>
        <v/>
      </c>
      <c r="AR36" s="15">
        <f>AR26-AR32</f>
        <v/>
      </c>
      <c r="AS36" s="15">
        <f>AS26-AS32</f>
        <v/>
      </c>
      <c r="AT36" s="15">
        <f>AT26-AT32</f>
        <v/>
      </c>
      <c r="AU36" s="15">
        <f>AU26-AU32</f>
        <v/>
      </c>
      <c r="AV36" s="15">
        <f>AV26-AV32</f>
        <v/>
      </c>
      <c r="AW36" s="15">
        <f>AW26-AW32</f>
        <v/>
      </c>
      <c r="AX36" s="15">
        <f>AX26-AX32</f>
        <v/>
      </c>
    </row>
    <row r="37">
      <c r="A37" t="inlineStr">
        <is>
          <t>Net variance (Actual − Target)</t>
        </is>
      </c>
      <c r="B37" s="5" t="inlineStr">
        <is>
          <t>$K · auto</t>
        </is>
      </c>
      <c r="C37" s="15">
        <f>C36-C35</f>
        <v/>
      </c>
      <c r="D37" s="15">
        <f>D36-D35</f>
        <v/>
      </c>
      <c r="E37" s="15">
        <f>E36-E35</f>
        <v/>
      </c>
      <c r="F37" s="15">
        <f>F36-F35</f>
        <v/>
      </c>
      <c r="G37" s="15">
        <f>G36-G35</f>
        <v/>
      </c>
      <c r="H37" s="15">
        <f>H36-H35</f>
        <v/>
      </c>
      <c r="I37" s="15">
        <f>I36-I35</f>
        <v/>
      </c>
      <c r="J37" s="15">
        <f>J36-J35</f>
        <v/>
      </c>
      <c r="K37" s="15">
        <f>K36-K35</f>
        <v/>
      </c>
      <c r="L37" s="15">
        <f>L36-L35</f>
        <v/>
      </c>
      <c r="M37" s="15">
        <f>M36-M35</f>
        <v/>
      </c>
      <c r="N37" s="15">
        <f>N36-N35</f>
        <v/>
      </c>
      <c r="O37" s="15">
        <f>O36-O35</f>
        <v/>
      </c>
      <c r="P37" s="15">
        <f>P36-P35</f>
        <v/>
      </c>
      <c r="Q37" s="15">
        <f>Q36-Q35</f>
        <v/>
      </c>
      <c r="R37" s="15">
        <f>R36-R35</f>
        <v/>
      </c>
      <c r="S37" s="15">
        <f>S36-S35</f>
        <v/>
      </c>
      <c r="T37" s="15">
        <f>T36-T35</f>
        <v/>
      </c>
      <c r="U37" s="15">
        <f>U36-U35</f>
        <v/>
      </c>
      <c r="V37" s="15">
        <f>V36-V35</f>
        <v/>
      </c>
      <c r="W37" s="15">
        <f>W36-W35</f>
        <v/>
      </c>
      <c r="X37" s="15">
        <f>X36-X35</f>
        <v/>
      </c>
      <c r="Y37" s="15">
        <f>Y36-Y35</f>
        <v/>
      </c>
      <c r="Z37" s="15">
        <f>Z36-Z35</f>
        <v/>
      </c>
      <c r="AA37" s="15">
        <f>AA36-AA35</f>
        <v/>
      </c>
      <c r="AB37" s="15">
        <f>AB36-AB35</f>
        <v/>
      </c>
      <c r="AC37" s="15">
        <f>AC36-AC35</f>
        <v/>
      </c>
      <c r="AD37" s="15">
        <f>AD36-AD35</f>
        <v/>
      </c>
      <c r="AE37" s="15">
        <f>AE36-AE35</f>
        <v/>
      </c>
      <c r="AF37" s="15">
        <f>AF36-AF35</f>
        <v/>
      </c>
      <c r="AG37" s="15">
        <f>AG36-AG35</f>
        <v/>
      </c>
      <c r="AH37" s="15">
        <f>AH36-AH35</f>
        <v/>
      </c>
      <c r="AI37" s="15">
        <f>AI36-AI35</f>
        <v/>
      </c>
      <c r="AJ37" s="15">
        <f>AJ36-AJ35</f>
        <v/>
      </c>
      <c r="AK37" s="15">
        <f>AK36-AK35</f>
        <v/>
      </c>
      <c r="AL37" s="15">
        <f>AL36-AL35</f>
        <v/>
      </c>
      <c r="AM37" s="15">
        <f>AM36-AM35</f>
        <v/>
      </c>
      <c r="AN37" s="15">
        <f>AN36-AN35</f>
        <v/>
      </c>
      <c r="AO37" s="15">
        <f>AO36-AO35</f>
        <v/>
      </c>
      <c r="AP37" s="15">
        <f>AP36-AP35</f>
        <v/>
      </c>
      <c r="AQ37" s="15">
        <f>AQ36-AQ35</f>
        <v/>
      </c>
      <c r="AR37" s="15">
        <f>AR36-AR35</f>
        <v/>
      </c>
      <c r="AS37" s="15">
        <f>AS36-AS35</f>
        <v/>
      </c>
      <c r="AT37" s="15">
        <f>AT36-AT35</f>
        <v/>
      </c>
      <c r="AU37" s="15">
        <f>AU36-AU35</f>
        <v/>
      </c>
      <c r="AV37" s="15">
        <f>AV36-AV35</f>
        <v/>
      </c>
      <c r="AW37" s="15">
        <f>AW36-AW35</f>
        <v/>
      </c>
      <c r="AX37" s="15">
        <f>AX36-AX35</f>
        <v/>
      </c>
    </row>
    <row r="38">
      <c r="A38" t="inlineStr">
        <is>
          <t>Cumulative net arbitrage — Target</t>
        </is>
      </c>
      <c r="B38" s="5" t="inlineStr">
        <is>
          <t>$K · auto</t>
        </is>
      </c>
      <c r="C38" s="15">
        <f>SUM($C35:C35)</f>
        <v/>
      </c>
      <c r="D38" s="15">
        <f>SUM($C35:D35)</f>
        <v/>
      </c>
      <c r="E38" s="15">
        <f>SUM($C35:E35)</f>
        <v/>
      </c>
      <c r="F38" s="15">
        <f>SUM($C35:F35)</f>
        <v/>
      </c>
      <c r="G38" s="15">
        <f>SUM($C35:G35)</f>
        <v/>
      </c>
      <c r="H38" s="15">
        <f>SUM($C35:H35)</f>
        <v/>
      </c>
      <c r="I38" s="15">
        <f>SUM($C35:I35)</f>
        <v/>
      </c>
      <c r="J38" s="15">
        <f>SUM($C35:J35)</f>
        <v/>
      </c>
      <c r="K38" s="15">
        <f>SUM($C35:K35)</f>
        <v/>
      </c>
      <c r="L38" s="15">
        <f>SUM($C35:L35)</f>
        <v/>
      </c>
      <c r="M38" s="15">
        <f>SUM($C35:M35)</f>
        <v/>
      </c>
      <c r="N38" s="15">
        <f>SUM($C35:N35)</f>
        <v/>
      </c>
      <c r="O38" s="15">
        <f>SUM($C35:O35)</f>
        <v/>
      </c>
      <c r="P38" s="15">
        <f>SUM($C35:P35)</f>
        <v/>
      </c>
      <c r="Q38" s="15">
        <f>SUM($C35:Q35)</f>
        <v/>
      </c>
      <c r="R38" s="15">
        <f>SUM($C35:R35)</f>
        <v/>
      </c>
      <c r="S38" s="15">
        <f>SUM($C35:S35)</f>
        <v/>
      </c>
      <c r="T38" s="15">
        <f>SUM($C35:T35)</f>
        <v/>
      </c>
      <c r="U38" s="15">
        <f>SUM($C35:U35)</f>
        <v/>
      </c>
      <c r="V38" s="15">
        <f>SUM($C35:V35)</f>
        <v/>
      </c>
      <c r="W38" s="15">
        <f>SUM($C35:W35)</f>
        <v/>
      </c>
      <c r="X38" s="15">
        <f>SUM($C35:X35)</f>
        <v/>
      </c>
      <c r="Y38" s="15">
        <f>SUM($C35:Y35)</f>
        <v/>
      </c>
      <c r="Z38" s="15">
        <f>SUM($C35:Z35)</f>
        <v/>
      </c>
      <c r="AA38" s="15">
        <f>SUM($C35:AA35)</f>
        <v/>
      </c>
      <c r="AB38" s="15">
        <f>SUM($C35:AB35)</f>
        <v/>
      </c>
      <c r="AC38" s="15">
        <f>SUM($C35:AC35)</f>
        <v/>
      </c>
      <c r="AD38" s="15">
        <f>SUM($C35:AD35)</f>
        <v/>
      </c>
      <c r="AE38" s="15">
        <f>SUM($C35:AE35)</f>
        <v/>
      </c>
      <c r="AF38" s="15">
        <f>SUM($C35:AF35)</f>
        <v/>
      </c>
      <c r="AG38" s="15">
        <f>SUM($C35:AG35)</f>
        <v/>
      </c>
      <c r="AH38" s="15">
        <f>SUM($C35:AH35)</f>
        <v/>
      </c>
      <c r="AI38" s="15">
        <f>SUM($C35:AI35)</f>
        <v/>
      </c>
      <c r="AJ38" s="15">
        <f>SUM($C35:AJ35)</f>
        <v/>
      </c>
      <c r="AK38" s="15">
        <f>SUM($C35:AK35)</f>
        <v/>
      </c>
      <c r="AL38" s="15">
        <f>SUM($C35:AL35)</f>
        <v/>
      </c>
      <c r="AM38" s="15">
        <f>SUM($C35:AM35)</f>
        <v/>
      </c>
      <c r="AN38" s="15">
        <f>SUM($C35:AN35)</f>
        <v/>
      </c>
      <c r="AO38" s="15">
        <f>SUM($C35:AO35)</f>
        <v/>
      </c>
      <c r="AP38" s="15">
        <f>SUM($C35:AP35)</f>
        <v/>
      </c>
      <c r="AQ38" s="15">
        <f>SUM($C35:AQ35)</f>
        <v/>
      </c>
      <c r="AR38" s="15">
        <f>SUM($C35:AR35)</f>
        <v/>
      </c>
      <c r="AS38" s="15">
        <f>SUM($C35:AS35)</f>
        <v/>
      </c>
      <c r="AT38" s="15">
        <f>SUM($C35:AT35)</f>
        <v/>
      </c>
      <c r="AU38" s="15">
        <f>SUM($C35:AU35)</f>
        <v/>
      </c>
      <c r="AV38" s="15">
        <f>SUM($C35:AV35)</f>
        <v/>
      </c>
      <c r="AW38" s="15">
        <f>SUM($C35:AW35)</f>
        <v/>
      </c>
      <c r="AX38" s="15">
        <f>SUM($C35:AX35)</f>
        <v/>
      </c>
    </row>
    <row r="39">
      <c r="A39" t="inlineStr">
        <is>
          <t>Cumulative net arbitrage — Actual</t>
        </is>
      </c>
      <c r="B39" s="5" t="inlineStr">
        <is>
          <t>$K · auto</t>
        </is>
      </c>
      <c r="C39" s="15">
        <f>SUM($C36:C36)</f>
        <v/>
      </c>
      <c r="D39" s="15">
        <f>SUM($C36:D36)</f>
        <v/>
      </c>
      <c r="E39" s="15">
        <f>SUM($C36:E36)</f>
        <v/>
      </c>
      <c r="F39" s="15">
        <f>SUM($C36:F36)</f>
        <v/>
      </c>
      <c r="G39" s="15">
        <f>SUM($C36:G36)</f>
        <v/>
      </c>
      <c r="H39" s="15">
        <f>SUM($C36:H36)</f>
        <v/>
      </c>
      <c r="I39" s="15">
        <f>SUM($C36:I36)</f>
        <v/>
      </c>
      <c r="J39" s="15">
        <f>SUM($C36:J36)</f>
        <v/>
      </c>
      <c r="K39" s="15">
        <f>SUM($C36:K36)</f>
        <v/>
      </c>
      <c r="L39" s="15">
        <f>SUM($C36:L36)</f>
        <v/>
      </c>
      <c r="M39" s="15">
        <f>SUM($C36:M36)</f>
        <v/>
      </c>
      <c r="N39" s="15">
        <f>SUM($C36:N36)</f>
        <v/>
      </c>
      <c r="O39" s="15">
        <f>SUM($C36:O36)</f>
        <v/>
      </c>
      <c r="P39" s="15">
        <f>SUM($C36:P36)</f>
        <v/>
      </c>
      <c r="Q39" s="15">
        <f>SUM($C36:Q36)</f>
        <v/>
      </c>
      <c r="R39" s="15">
        <f>SUM($C36:R36)</f>
        <v/>
      </c>
      <c r="S39" s="15">
        <f>SUM($C36:S36)</f>
        <v/>
      </c>
      <c r="T39" s="15">
        <f>SUM($C36:T36)</f>
        <v/>
      </c>
      <c r="U39" s="15">
        <f>SUM($C36:U36)</f>
        <v/>
      </c>
      <c r="V39" s="15">
        <f>SUM($C36:V36)</f>
        <v/>
      </c>
      <c r="W39" s="15">
        <f>SUM($C36:W36)</f>
        <v/>
      </c>
      <c r="X39" s="15">
        <f>SUM($C36:X36)</f>
        <v/>
      </c>
      <c r="Y39" s="15">
        <f>SUM($C36:Y36)</f>
        <v/>
      </c>
      <c r="Z39" s="15">
        <f>SUM($C36:Z36)</f>
        <v/>
      </c>
      <c r="AA39" s="15">
        <f>SUM($C36:AA36)</f>
        <v/>
      </c>
      <c r="AB39" s="15">
        <f>SUM($C36:AB36)</f>
        <v/>
      </c>
      <c r="AC39" s="15">
        <f>SUM($C36:AC36)</f>
        <v/>
      </c>
      <c r="AD39" s="15">
        <f>SUM($C36:AD36)</f>
        <v/>
      </c>
      <c r="AE39" s="15">
        <f>SUM($C36:AE36)</f>
        <v/>
      </c>
      <c r="AF39" s="15">
        <f>SUM($C36:AF36)</f>
        <v/>
      </c>
      <c r="AG39" s="15">
        <f>SUM($C36:AG36)</f>
        <v/>
      </c>
      <c r="AH39" s="15">
        <f>SUM($C36:AH36)</f>
        <v/>
      </c>
      <c r="AI39" s="15">
        <f>SUM($C36:AI36)</f>
        <v/>
      </c>
      <c r="AJ39" s="15">
        <f>SUM($C36:AJ36)</f>
        <v/>
      </c>
      <c r="AK39" s="15">
        <f>SUM($C36:AK36)</f>
        <v/>
      </c>
      <c r="AL39" s="15">
        <f>SUM($C36:AL36)</f>
        <v/>
      </c>
      <c r="AM39" s="15">
        <f>SUM($C36:AM36)</f>
        <v/>
      </c>
      <c r="AN39" s="15">
        <f>SUM($C36:AN36)</f>
        <v/>
      </c>
      <c r="AO39" s="15">
        <f>SUM($C36:AO36)</f>
        <v/>
      </c>
      <c r="AP39" s="15">
        <f>SUM($C36:AP36)</f>
        <v/>
      </c>
      <c r="AQ39" s="15">
        <f>SUM($C36:AQ36)</f>
        <v/>
      </c>
      <c r="AR39" s="15">
        <f>SUM($C36:AR36)</f>
        <v/>
      </c>
      <c r="AS39" s="15">
        <f>SUM($C36:AS36)</f>
        <v/>
      </c>
      <c r="AT39" s="15">
        <f>SUM($C36:AT36)</f>
        <v/>
      </c>
      <c r="AU39" s="15">
        <f>SUM($C36:AU36)</f>
        <v/>
      </c>
      <c r="AV39" s="15">
        <f>SUM($C36:AV36)</f>
        <v/>
      </c>
      <c r="AW39" s="15">
        <f>SUM($C36:AW36)</f>
        <v/>
      </c>
      <c r="AX39" s="15">
        <f>SUM($C36:AX36)</f>
        <v/>
      </c>
    </row>
    <row r="40">
      <c r="A40" s="11" t="inlineStr">
        <is>
          <t>E.  STATUS, ATTESTATION &amp; COMMENTARY</t>
        </is>
      </c>
      <c r="B40" s="16" t="inlineStr"/>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row>
    <row r="41">
      <c r="A41" t="inlineStr">
        <is>
          <t>Overall RAG status for month</t>
        </is>
      </c>
      <c r="B41" s="5" t="inlineStr">
        <is>
          <t>G/A/R · org input</t>
        </is>
      </c>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c r="AK41" s="26" t="n"/>
      <c r="AL41" s="26" t="n"/>
      <c r="AM41" s="26" t="n"/>
      <c r="AN41" s="26" t="n"/>
      <c r="AO41" s="26" t="n"/>
      <c r="AP41" s="26" t="n"/>
      <c r="AQ41" s="26" t="n"/>
      <c r="AR41" s="26" t="n"/>
      <c r="AS41" s="26" t="n"/>
      <c r="AT41" s="26" t="n"/>
      <c r="AU41" s="26" t="n"/>
      <c r="AV41" s="26" t="n"/>
      <c r="AW41" s="26" t="n"/>
      <c r="AX41" s="26" t="n"/>
    </row>
    <row r="42">
      <c r="A42" t="inlineStr">
        <is>
          <t>Attest: reductions free of leakage?</t>
        </is>
      </c>
      <c r="B42" s="5" t="inlineStr">
        <is>
          <t>Y/N · org input</t>
        </is>
      </c>
      <c r="C42" s="26" t="n"/>
      <c r="D42" s="26" t="n"/>
      <c r="E42" s="26"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c r="AD42" s="26" t="n"/>
      <c r="AE42" s="26" t="n"/>
      <c r="AF42" s="26" t="n"/>
      <c r="AG42" s="26" t="n"/>
      <c r="AH42" s="26" t="n"/>
      <c r="AI42" s="26" t="n"/>
      <c r="AJ42" s="26" t="n"/>
      <c r="AK42" s="26" t="n"/>
      <c r="AL42" s="26" t="n"/>
      <c r="AM42" s="26" t="n"/>
      <c r="AN42" s="26" t="n"/>
      <c r="AO42" s="26" t="n"/>
      <c r="AP42" s="26" t="n"/>
      <c r="AQ42" s="26" t="n"/>
      <c r="AR42" s="26" t="n"/>
      <c r="AS42" s="26" t="n"/>
      <c r="AT42" s="26" t="n"/>
      <c r="AU42" s="26" t="n"/>
      <c r="AV42" s="26" t="n"/>
      <c r="AW42" s="26" t="n"/>
      <c r="AX42" s="26" t="n"/>
    </row>
    <row r="43">
      <c r="A43" t="inlineStr">
        <is>
          <t>Attested by (org finance partner)</t>
        </is>
      </c>
      <c r="B43" s="5" t="inlineStr">
        <is>
          <t>name · org input</t>
        </is>
      </c>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c r="AD43" s="26" t="n"/>
      <c r="AE43" s="26" t="n"/>
      <c r="AF43" s="26" t="n"/>
      <c r="AG43" s="26" t="n"/>
      <c r="AH43" s="26" t="n"/>
      <c r="AI43" s="26" t="n"/>
      <c r="AJ43" s="26" t="n"/>
      <c r="AK43" s="26" t="n"/>
      <c r="AL43" s="26" t="n"/>
      <c r="AM43" s="26" t="n"/>
      <c r="AN43" s="26" t="n"/>
      <c r="AO43" s="26" t="n"/>
      <c r="AP43" s="26" t="n"/>
      <c r="AQ43" s="26" t="n"/>
      <c r="AR43" s="26" t="n"/>
      <c r="AS43" s="26" t="n"/>
      <c r="AT43" s="26" t="n"/>
      <c r="AU43" s="26" t="n"/>
      <c r="AV43" s="26" t="n"/>
      <c r="AW43" s="26" t="n"/>
      <c r="AX43" s="26" t="n"/>
    </row>
    <row r="44">
      <c r="A44" t="inlineStr">
        <is>
          <t>Commentary (required on material variance)</t>
        </is>
      </c>
      <c r="B44" s="5" t="inlineStr">
        <is>
          <t>text · org input</t>
        </is>
      </c>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c r="AD44" s="26" t="n"/>
      <c r="AE44" s="26" t="n"/>
      <c r="AF44" s="26" t="n"/>
      <c r="AG44" s="26" t="n"/>
      <c r="AH44" s="26" t="n"/>
      <c r="AI44" s="26" t="n"/>
      <c r="AJ44" s="26" t="n"/>
      <c r="AK44" s="26" t="n"/>
      <c r="AL44" s="26" t="n"/>
      <c r="AM44" s="26" t="n"/>
      <c r="AN44" s="26" t="n"/>
      <c r="AO44" s="26" t="n"/>
      <c r="AP44" s="26" t="n"/>
      <c r="AQ44" s="26" t="n"/>
      <c r="AR44" s="26" t="n"/>
      <c r="AS44" s="26" t="n"/>
      <c r="AT44" s="26" t="n"/>
      <c r="AU44" s="26" t="n"/>
      <c r="AV44" s="26" t="n"/>
      <c r="AW44" s="26" t="n"/>
      <c r="AX44" s="26" t="n"/>
    </row>
  </sheetData>
  <dataValidations count="2">
    <dataValidation sqref="C41:AX41" showDropDown="0" showInputMessage="0" showErrorMessage="0" allowBlank="1" type="list">
      <formula1>=Setup!$B$14:$B$16</formula1>
    </dataValidation>
    <dataValidation sqref="C42:AX42" showDropDown="0" showInputMessage="0" showErrorMessage="0" allowBlank="1" type="list">
      <formula1>=Setup!$B$18:$B$19</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X4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6" customWidth="1" min="1" max="1"/>
    <col width="20"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10.5" customWidth="1" min="35" max="35"/>
    <col width="10.5" customWidth="1" min="36" max="36"/>
    <col width="10.5" customWidth="1" min="37" max="37"/>
    <col width="10.5" customWidth="1" min="38" max="38"/>
    <col width="10.5" customWidth="1" min="39" max="39"/>
    <col width="10.5" customWidth="1" min="40" max="40"/>
    <col width="10.5" customWidth="1" min="41" max="41"/>
    <col width="10.5" customWidth="1" min="42" max="42"/>
    <col width="10.5" customWidth="1" min="43" max="43"/>
    <col width="10.5" customWidth="1" min="44" max="44"/>
    <col width="10.5" customWidth="1" min="45" max="45"/>
    <col width="10.5" customWidth="1" min="46" max="46"/>
    <col width="10.5" customWidth="1" min="47" max="47"/>
    <col width="10.5" customWidth="1" min="48" max="48"/>
    <col width="10.5" customWidth="1" min="49" max="49"/>
    <col width="10.5" customWidth="1" min="50" max="50"/>
  </cols>
  <sheetData>
    <row r="1">
      <c r="A1" s="4">
        <f>CONCATENATE("ORG: ",Setup!$B$8)</f>
        <v/>
      </c>
    </row>
    <row r="2">
      <c r="A2" s="5" t="inlineStr">
        <is>
          <t>Enter BLUE cells only. GREEN = central fill. GREY = linked target (do not edit). See READ ME + Guiding Principles tabs.</t>
        </is>
      </c>
    </row>
    <row r="4">
      <c r="C4" s="8" t="n">
        <v>2026</v>
      </c>
      <c r="O4" s="8" t="n">
        <v>2027</v>
      </c>
      <c r="AA4" s="8" t="n">
        <v>2028</v>
      </c>
      <c r="AM4" s="8" t="n">
        <v>2029</v>
      </c>
    </row>
    <row r="5">
      <c r="A5" s="9" t="inlineStr">
        <is>
          <t>Metric</t>
        </is>
      </c>
      <c r="B5" s="9" t="inlineStr">
        <is>
          <t>Unit / who fills</t>
        </is>
      </c>
      <c r="C5" s="10" t="n">
        <v>46023</v>
      </c>
      <c r="D5" s="10" t="n">
        <v>46054</v>
      </c>
      <c r="E5" s="10" t="n">
        <v>46082</v>
      </c>
      <c r="F5" s="10" t="n">
        <v>46113</v>
      </c>
      <c r="G5" s="10" t="n">
        <v>46143</v>
      </c>
      <c r="H5" s="10" t="n">
        <v>46174</v>
      </c>
      <c r="I5" s="10" t="n">
        <v>46204</v>
      </c>
      <c r="J5" s="10" t="n">
        <v>46235</v>
      </c>
      <c r="K5" s="10" t="n">
        <v>46266</v>
      </c>
      <c r="L5" s="10" t="n">
        <v>46296</v>
      </c>
      <c r="M5" s="10" t="n">
        <v>46327</v>
      </c>
      <c r="N5" s="10" t="n">
        <v>46357</v>
      </c>
      <c r="O5" s="10" t="n">
        <v>46388</v>
      </c>
      <c r="P5" s="10" t="n">
        <v>46419</v>
      </c>
      <c r="Q5" s="10" t="n">
        <v>46447</v>
      </c>
      <c r="R5" s="10" t="n">
        <v>46478</v>
      </c>
      <c r="S5" s="10" t="n">
        <v>46508</v>
      </c>
      <c r="T5" s="10" t="n">
        <v>46539</v>
      </c>
      <c r="U5" s="10" t="n">
        <v>46569</v>
      </c>
      <c r="V5" s="10" t="n">
        <v>46600</v>
      </c>
      <c r="W5" s="10" t="n">
        <v>46631</v>
      </c>
      <c r="X5" s="10" t="n">
        <v>46661</v>
      </c>
      <c r="Y5" s="10" t="n">
        <v>46692</v>
      </c>
      <c r="Z5" s="10" t="n">
        <v>46722</v>
      </c>
      <c r="AA5" s="10" t="n">
        <v>46753</v>
      </c>
      <c r="AB5" s="10" t="n">
        <v>46784</v>
      </c>
      <c r="AC5" s="10" t="n">
        <v>46813</v>
      </c>
      <c r="AD5" s="10" t="n">
        <v>46844</v>
      </c>
      <c r="AE5" s="10" t="n">
        <v>46874</v>
      </c>
      <c r="AF5" s="10" t="n">
        <v>46905</v>
      </c>
      <c r="AG5" s="10" t="n">
        <v>46935</v>
      </c>
      <c r="AH5" s="10" t="n">
        <v>46966</v>
      </c>
      <c r="AI5" s="10" t="n">
        <v>46997</v>
      </c>
      <c r="AJ5" s="10" t="n">
        <v>47027</v>
      </c>
      <c r="AK5" s="10" t="n">
        <v>47058</v>
      </c>
      <c r="AL5" s="10" t="n">
        <v>47088</v>
      </c>
      <c r="AM5" s="10" t="n">
        <v>47119</v>
      </c>
      <c r="AN5" s="10" t="n">
        <v>47150</v>
      </c>
      <c r="AO5" s="10" t="n">
        <v>47178</v>
      </c>
      <c r="AP5" s="10" t="n">
        <v>47209</v>
      </c>
      <c r="AQ5" s="10" t="n">
        <v>47239</v>
      </c>
      <c r="AR5" s="10" t="n">
        <v>47270</v>
      </c>
      <c r="AS5" s="10" t="n">
        <v>47300</v>
      </c>
      <c r="AT5" s="10" t="n">
        <v>47331</v>
      </c>
      <c r="AU5" s="10" t="n">
        <v>47362</v>
      </c>
      <c r="AV5" s="10" t="n">
        <v>47392</v>
      </c>
      <c r="AW5" s="10" t="n">
        <v>47423</v>
      </c>
      <c r="AX5" s="10" t="n">
        <v>47453</v>
      </c>
    </row>
    <row r="6">
      <c r="A6" s="11" t="inlineStr">
        <is>
          <t>A.  INDIA HIRING</t>
        </is>
      </c>
      <c r="B6" s="16" t="inlineStr"/>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row>
    <row r="7">
      <c r="A7" t="inlineStr">
        <is>
          <t>India hires — Target</t>
        </is>
      </c>
      <c r="B7" s="5" t="inlineStr">
        <is>
          <t>heads · linked</t>
        </is>
      </c>
      <c r="C7" s="17">
        <f>Targets!C44</f>
        <v/>
      </c>
      <c r="D7" s="17">
        <f>Targets!D44</f>
        <v/>
      </c>
      <c r="E7" s="17">
        <f>Targets!E44</f>
        <v/>
      </c>
      <c r="F7" s="17">
        <f>Targets!F44</f>
        <v/>
      </c>
      <c r="G7" s="17">
        <f>Targets!G44</f>
        <v/>
      </c>
      <c r="H7" s="17">
        <f>Targets!H44</f>
        <v/>
      </c>
      <c r="I7" s="17">
        <f>Targets!I44</f>
        <v/>
      </c>
      <c r="J7" s="17">
        <f>Targets!J44</f>
        <v/>
      </c>
      <c r="K7" s="17">
        <f>Targets!K44</f>
        <v/>
      </c>
      <c r="L7" s="17">
        <f>Targets!L44</f>
        <v/>
      </c>
      <c r="M7" s="17">
        <f>Targets!M44</f>
        <v/>
      </c>
      <c r="N7" s="17">
        <f>Targets!N44</f>
        <v/>
      </c>
      <c r="O7" s="17">
        <f>Targets!O44</f>
        <v/>
      </c>
      <c r="P7" s="17">
        <f>Targets!P44</f>
        <v/>
      </c>
      <c r="Q7" s="17">
        <f>Targets!Q44</f>
        <v/>
      </c>
      <c r="R7" s="17">
        <f>Targets!R44</f>
        <v/>
      </c>
      <c r="S7" s="17">
        <f>Targets!S44</f>
        <v/>
      </c>
      <c r="T7" s="17">
        <f>Targets!T44</f>
        <v/>
      </c>
      <c r="U7" s="17">
        <f>Targets!U44</f>
        <v/>
      </c>
      <c r="V7" s="17">
        <f>Targets!V44</f>
        <v/>
      </c>
      <c r="W7" s="17">
        <f>Targets!W44</f>
        <v/>
      </c>
      <c r="X7" s="17">
        <f>Targets!X44</f>
        <v/>
      </c>
      <c r="Y7" s="17">
        <f>Targets!Y44</f>
        <v/>
      </c>
      <c r="Z7" s="17">
        <f>Targets!Z44</f>
        <v/>
      </c>
      <c r="AA7" s="17">
        <f>Targets!AA44</f>
        <v/>
      </c>
      <c r="AB7" s="17">
        <f>Targets!AB44</f>
        <v/>
      </c>
      <c r="AC7" s="17">
        <f>Targets!AC44</f>
        <v/>
      </c>
      <c r="AD7" s="17">
        <f>Targets!AD44</f>
        <v/>
      </c>
      <c r="AE7" s="17">
        <f>Targets!AE44</f>
        <v/>
      </c>
      <c r="AF7" s="17">
        <f>Targets!AF44</f>
        <v/>
      </c>
      <c r="AG7" s="17">
        <f>Targets!AG44</f>
        <v/>
      </c>
      <c r="AH7" s="17">
        <f>Targets!AH44</f>
        <v/>
      </c>
      <c r="AI7" s="17">
        <f>Targets!AI44</f>
        <v/>
      </c>
      <c r="AJ7" s="17">
        <f>Targets!AJ44</f>
        <v/>
      </c>
      <c r="AK7" s="17">
        <f>Targets!AK44</f>
        <v/>
      </c>
      <c r="AL7" s="17">
        <f>Targets!AL44</f>
        <v/>
      </c>
      <c r="AM7" s="17">
        <f>Targets!AM44</f>
        <v/>
      </c>
      <c r="AN7" s="17">
        <f>Targets!AN44</f>
        <v/>
      </c>
      <c r="AO7" s="17">
        <f>Targets!AO44</f>
        <v/>
      </c>
      <c r="AP7" s="17">
        <f>Targets!AP44</f>
        <v/>
      </c>
      <c r="AQ7" s="17">
        <f>Targets!AQ44</f>
        <v/>
      </c>
      <c r="AR7" s="17">
        <f>Targets!AR44</f>
        <v/>
      </c>
      <c r="AS7" s="17">
        <f>Targets!AS44</f>
        <v/>
      </c>
      <c r="AT7" s="17">
        <f>Targets!AT44</f>
        <v/>
      </c>
      <c r="AU7" s="17">
        <f>Targets!AU44</f>
        <v/>
      </c>
      <c r="AV7" s="17">
        <f>Targets!AV44</f>
        <v/>
      </c>
      <c r="AW7" s="17">
        <f>Targets!AW44</f>
        <v/>
      </c>
      <c r="AX7" s="17">
        <f>Targets!AX44</f>
        <v/>
      </c>
    </row>
    <row r="8">
      <c r="A8" t="inlineStr">
        <is>
          <t>India hires — Actual</t>
        </is>
      </c>
      <c r="B8" s="5" t="inlineStr">
        <is>
          <t>heads · central (PlanIt)</t>
        </is>
      </c>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row>
    <row r="9">
      <c r="A9" t="inlineStr">
        <is>
          <t>Cumulative hires — Target</t>
        </is>
      </c>
      <c r="B9" s="5" t="inlineStr">
        <is>
          <t>heads · auto</t>
        </is>
      </c>
      <c r="C9" s="19">
        <f>SUM($C7:C7)</f>
        <v/>
      </c>
      <c r="D9" s="19">
        <f>SUM($C7:D7)</f>
        <v/>
      </c>
      <c r="E9" s="19">
        <f>SUM($C7:E7)</f>
        <v/>
      </c>
      <c r="F9" s="19">
        <f>SUM($C7:F7)</f>
        <v/>
      </c>
      <c r="G9" s="19">
        <f>SUM($C7:G7)</f>
        <v/>
      </c>
      <c r="H9" s="19">
        <f>SUM($C7:H7)</f>
        <v/>
      </c>
      <c r="I9" s="19">
        <f>SUM($C7:I7)</f>
        <v/>
      </c>
      <c r="J9" s="19">
        <f>SUM($C7:J7)</f>
        <v/>
      </c>
      <c r="K9" s="19">
        <f>SUM($C7:K7)</f>
        <v/>
      </c>
      <c r="L9" s="19">
        <f>SUM($C7:L7)</f>
        <v/>
      </c>
      <c r="M9" s="19">
        <f>SUM($C7:M7)</f>
        <v/>
      </c>
      <c r="N9" s="19">
        <f>SUM($C7:N7)</f>
        <v/>
      </c>
      <c r="O9" s="19">
        <f>SUM($C7:O7)</f>
        <v/>
      </c>
      <c r="P9" s="19">
        <f>SUM($C7:P7)</f>
        <v/>
      </c>
      <c r="Q9" s="19">
        <f>SUM($C7:Q7)</f>
        <v/>
      </c>
      <c r="R9" s="19">
        <f>SUM($C7:R7)</f>
        <v/>
      </c>
      <c r="S9" s="19">
        <f>SUM($C7:S7)</f>
        <v/>
      </c>
      <c r="T9" s="19">
        <f>SUM($C7:T7)</f>
        <v/>
      </c>
      <c r="U9" s="19">
        <f>SUM($C7:U7)</f>
        <v/>
      </c>
      <c r="V9" s="19">
        <f>SUM($C7:V7)</f>
        <v/>
      </c>
      <c r="W9" s="19">
        <f>SUM($C7:W7)</f>
        <v/>
      </c>
      <c r="X9" s="19">
        <f>SUM($C7:X7)</f>
        <v/>
      </c>
      <c r="Y9" s="19">
        <f>SUM($C7:Y7)</f>
        <v/>
      </c>
      <c r="Z9" s="19">
        <f>SUM($C7:Z7)</f>
        <v/>
      </c>
      <c r="AA9" s="19">
        <f>SUM($C7:AA7)</f>
        <v/>
      </c>
      <c r="AB9" s="19">
        <f>SUM($C7:AB7)</f>
        <v/>
      </c>
      <c r="AC9" s="19">
        <f>SUM($C7:AC7)</f>
        <v/>
      </c>
      <c r="AD9" s="19">
        <f>SUM($C7:AD7)</f>
        <v/>
      </c>
      <c r="AE9" s="19">
        <f>SUM($C7:AE7)</f>
        <v/>
      </c>
      <c r="AF9" s="19">
        <f>SUM($C7:AF7)</f>
        <v/>
      </c>
      <c r="AG9" s="19">
        <f>SUM($C7:AG7)</f>
        <v/>
      </c>
      <c r="AH9" s="19">
        <f>SUM($C7:AH7)</f>
        <v/>
      </c>
      <c r="AI9" s="19">
        <f>SUM($C7:AI7)</f>
        <v/>
      </c>
      <c r="AJ9" s="19">
        <f>SUM($C7:AJ7)</f>
        <v/>
      </c>
      <c r="AK9" s="19">
        <f>SUM($C7:AK7)</f>
        <v/>
      </c>
      <c r="AL9" s="19">
        <f>SUM($C7:AL7)</f>
        <v/>
      </c>
      <c r="AM9" s="19">
        <f>SUM($C7:AM7)</f>
        <v/>
      </c>
      <c r="AN9" s="19">
        <f>SUM($C7:AN7)</f>
        <v/>
      </c>
      <c r="AO9" s="19">
        <f>SUM($C7:AO7)</f>
        <v/>
      </c>
      <c r="AP9" s="19">
        <f>SUM($C7:AP7)</f>
        <v/>
      </c>
      <c r="AQ9" s="19">
        <f>SUM($C7:AQ7)</f>
        <v/>
      </c>
      <c r="AR9" s="19">
        <f>SUM($C7:AR7)</f>
        <v/>
      </c>
      <c r="AS9" s="19">
        <f>SUM($C7:AS7)</f>
        <v/>
      </c>
      <c r="AT9" s="19">
        <f>SUM($C7:AT7)</f>
        <v/>
      </c>
      <c r="AU9" s="19">
        <f>SUM($C7:AU7)</f>
        <v/>
      </c>
      <c r="AV9" s="19">
        <f>SUM($C7:AV7)</f>
        <v/>
      </c>
      <c r="AW9" s="19">
        <f>SUM($C7:AW7)</f>
        <v/>
      </c>
      <c r="AX9" s="19">
        <f>SUM($C7:AX7)</f>
        <v/>
      </c>
    </row>
    <row r="10">
      <c r="A10" t="inlineStr">
        <is>
          <t>Cumulative hires — Actual</t>
        </is>
      </c>
      <c r="B10" s="5" t="inlineStr">
        <is>
          <t>heads · auto</t>
        </is>
      </c>
      <c r="C10" s="19">
        <f>SUM($C8:C8)</f>
        <v/>
      </c>
      <c r="D10" s="19">
        <f>SUM($C8:D8)</f>
        <v/>
      </c>
      <c r="E10" s="19">
        <f>SUM($C8:E8)</f>
        <v/>
      </c>
      <c r="F10" s="19">
        <f>SUM($C8:F8)</f>
        <v/>
      </c>
      <c r="G10" s="19">
        <f>SUM($C8:G8)</f>
        <v/>
      </c>
      <c r="H10" s="19">
        <f>SUM($C8:H8)</f>
        <v/>
      </c>
      <c r="I10" s="19">
        <f>SUM($C8:I8)</f>
        <v/>
      </c>
      <c r="J10" s="19">
        <f>SUM($C8:J8)</f>
        <v/>
      </c>
      <c r="K10" s="19">
        <f>SUM($C8:K8)</f>
        <v/>
      </c>
      <c r="L10" s="19">
        <f>SUM($C8:L8)</f>
        <v/>
      </c>
      <c r="M10" s="19">
        <f>SUM($C8:M8)</f>
        <v/>
      </c>
      <c r="N10" s="19">
        <f>SUM($C8:N8)</f>
        <v/>
      </c>
      <c r="O10" s="19">
        <f>SUM($C8:O8)</f>
        <v/>
      </c>
      <c r="P10" s="19">
        <f>SUM($C8:P8)</f>
        <v/>
      </c>
      <c r="Q10" s="19">
        <f>SUM($C8:Q8)</f>
        <v/>
      </c>
      <c r="R10" s="19">
        <f>SUM($C8:R8)</f>
        <v/>
      </c>
      <c r="S10" s="19">
        <f>SUM($C8:S8)</f>
        <v/>
      </c>
      <c r="T10" s="19">
        <f>SUM($C8:T8)</f>
        <v/>
      </c>
      <c r="U10" s="19">
        <f>SUM($C8:U8)</f>
        <v/>
      </c>
      <c r="V10" s="19">
        <f>SUM($C8:V8)</f>
        <v/>
      </c>
      <c r="W10" s="19">
        <f>SUM($C8:W8)</f>
        <v/>
      </c>
      <c r="X10" s="19">
        <f>SUM($C8:X8)</f>
        <v/>
      </c>
      <c r="Y10" s="19">
        <f>SUM($C8:Y8)</f>
        <v/>
      </c>
      <c r="Z10" s="19">
        <f>SUM($C8:Z8)</f>
        <v/>
      </c>
      <c r="AA10" s="19">
        <f>SUM($C8:AA8)</f>
        <v/>
      </c>
      <c r="AB10" s="19">
        <f>SUM($C8:AB8)</f>
        <v/>
      </c>
      <c r="AC10" s="19">
        <f>SUM($C8:AC8)</f>
        <v/>
      </c>
      <c r="AD10" s="19">
        <f>SUM($C8:AD8)</f>
        <v/>
      </c>
      <c r="AE10" s="19">
        <f>SUM($C8:AE8)</f>
        <v/>
      </c>
      <c r="AF10" s="19">
        <f>SUM($C8:AF8)</f>
        <v/>
      </c>
      <c r="AG10" s="19">
        <f>SUM($C8:AG8)</f>
        <v/>
      </c>
      <c r="AH10" s="19">
        <f>SUM($C8:AH8)</f>
        <v/>
      </c>
      <c r="AI10" s="19">
        <f>SUM($C8:AI8)</f>
        <v/>
      </c>
      <c r="AJ10" s="19">
        <f>SUM($C8:AJ8)</f>
        <v/>
      </c>
      <c r="AK10" s="19">
        <f>SUM($C8:AK8)</f>
        <v/>
      </c>
      <c r="AL10" s="19">
        <f>SUM($C8:AL8)</f>
        <v/>
      </c>
      <c r="AM10" s="19">
        <f>SUM($C8:AM8)</f>
        <v/>
      </c>
      <c r="AN10" s="19">
        <f>SUM($C8:AN8)</f>
        <v/>
      </c>
      <c r="AO10" s="19">
        <f>SUM($C8:AO8)</f>
        <v/>
      </c>
      <c r="AP10" s="19">
        <f>SUM($C8:AP8)</f>
        <v/>
      </c>
      <c r="AQ10" s="19">
        <f>SUM($C8:AQ8)</f>
        <v/>
      </c>
      <c r="AR10" s="19">
        <f>SUM($C8:AR8)</f>
        <v/>
      </c>
      <c r="AS10" s="19">
        <f>SUM($C8:AS8)</f>
        <v/>
      </c>
      <c r="AT10" s="19">
        <f>SUM($C8:AT8)</f>
        <v/>
      </c>
      <c r="AU10" s="19">
        <f>SUM($C8:AU8)</f>
        <v/>
      </c>
      <c r="AV10" s="19">
        <f>SUM($C8:AV8)</f>
        <v/>
      </c>
      <c r="AW10" s="19">
        <f>SUM($C8:AW8)</f>
        <v/>
      </c>
      <c r="AX10" s="19">
        <f>SUM($C8:AX8)</f>
        <v/>
      </c>
    </row>
    <row r="11">
      <c r="A11" t="inlineStr">
        <is>
          <t>Hires variance (Actual − Target), cumulative</t>
        </is>
      </c>
      <c r="B11" s="5" t="inlineStr">
        <is>
          <t>heads · auto</t>
        </is>
      </c>
      <c r="C11" s="19">
        <f>C10-C9</f>
        <v/>
      </c>
      <c r="D11" s="19">
        <f>D10-D9</f>
        <v/>
      </c>
      <c r="E11" s="19">
        <f>E10-E9</f>
        <v/>
      </c>
      <c r="F11" s="19">
        <f>F10-F9</f>
        <v/>
      </c>
      <c r="G11" s="19">
        <f>G10-G9</f>
        <v/>
      </c>
      <c r="H11" s="19">
        <f>H10-H9</f>
        <v/>
      </c>
      <c r="I11" s="19">
        <f>I10-I9</f>
        <v/>
      </c>
      <c r="J11" s="19">
        <f>J10-J9</f>
        <v/>
      </c>
      <c r="K11" s="19">
        <f>K10-K9</f>
        <v/>
      </c>
      <c r="L11" s="19">
        <f>L10-L9</f>
        <v/>
      </c>
      <c r="M11" s="19">
        <f>M10-M9</f>
        <v/>
      </c>
      <c r="N11" s="19">
        <f>N10-N9</f>
        <v/>
      </c>
      <c r="O11" s="19">
        <f>O10-O9</f>
        <v/>
      </c>
      <c r="P11" s="19">
        <f>P10-P9</f>
        <v/>
      </c>
      <c r="Q11" s="19">
        <f>Q10-Q9</f>
        <v/>
      </c>
      <c r="R11" s="19">
        <f>R10-R9</f>
        <v/>
      </c>
      <c r="S11" s="19">
        <f>S10-S9</f>
        <v/>
      </c>
      <c r="T11" s="19">
        <f>T10-T9</f>
        <v/>
      </c>
      <c r="U11" s="19">
        <f>U10-U9</f>
        <v/>
      </c>
      <c r="V11" s="19">
        <f>V10-V9</f>
        <v/>
      </c>
      <c r="W11" s="19">
        <f>W10-W9</f>
        <v/>
      </c>
      <c r="X11" s="19">
        <f>X10-X9</f>
        <v/>
      </c>
      <c r="Y11" s="19">
        <f>Y10-Y9</f>
        <v/>
      </c>
      <c r="Z11" s="19">
        <f>Z10-Z9</f>
        <v/>
      </c>
      <c r="AA11" s="19">
        <f>AA10-AA9</f>
        <v/>
      </c>
      <c r="AB11" s="19">
        <f>AB10-AB9</f>
        <v/>
      </c>
      <c r="AC11" s="19">
        <f>AC10-AC9</f>
        <v/>
      </c>
      <c r="AD11" s="19">
        <f>AD10-AD9</f>
        <v/>
      </c>
      <c r="AE11" s="19">
        <f>AE10-AE9</f>
        <v/>
      </c>
      <c r="AF11" s="19">
        <f>AF10-AF9</f>
        <v/>
      </c>
      <c r="AG11" s="19">
        <f>AG10-AG9</f>
        <v/>
      </c>
      <c r="AH11" s="19">
        <f>AH10-AH9</f>
        <v/>
      </c>
      <c r="AI11" s="19">
        <f>AI10-AI9</f>
        <v/>
      </c>
      <c r="AJ11" s="19">
        <f>AJ10-AJ9</f>
        <v/>
      </c>
      <c r="AK11" s="19">
        <f>AK10-AK9</f>
        <v/>
      </c>
      <c r="AL11" s="19">
        <f>AL10-AL9</f>
        <v/>
      </c>
      <c r="AM11" s="19">
        <f>AM10-AM9</f>
        <v/>
      </c>
      <c r="AN11" s="19">
        <f>AN10-AN9</f>
        <v/>
      </c>
      <c r="AO11" s="19">
        <f>AO10-AO9</f>
        <v/>
      </c>
      <c r="AP11" s="19">
        <f>AP10-AP9</f>
        <v/>
      </c>
      <c r="AQ11" s="19">
        <f>AQ10-AQ9</f>
        <v/>
      </c>
      <c r="AR11" s="19">
        <f>AR10-AR9</f>
        <v/>
      </c>
      <c r="AS11" s="19">
        <f>AS10-AS9</f>
        <v/>
      </c>
      <c r="AT11" s="19">
        <f>AT10-AT9</f>
        <v/>
      </c>
      <c r="AU11" s="19">
        <f>AU10-AU9</f>
        <v/>
      </c>
      <c r="AV11" s="19">
        <f>AV10-AV9</f>
        <v/>
      </c>
      <c r="AW11" s="19">
        <f>AW10-AW9</f>
        <v/>
      </c>
      <c r="AX11" s="19">
        <f>AX10-AX9</f>
        <v/>
      </c>
    </row>
    <row r="12">
      <c r="A12" t="inlineStr">
        <is>
          <t>Avg India loaded comp — Plan</t>
        </is>
      </c>
      <c r="B12" s="5" t="inlineStr">
        <is>
          <t>$K/yr · central (PlanIt)</t>
        </is>
      </c>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20" t="n"/>
      <c r="AD12" s="20" t="n"/>
      <c r="AE12" s="20" t="n"/>
      <c r="AF12" s="20" t="n"/>
      <c r="AG12" s="20" t="n"/>
      <c r="AH12" s="20" t="n"/>
      <c r="AI12" s="20" t="n"/>
      <c r="AJ12" s="20" t="n"/>
      <c r="AK12" s="20" t="n"/>
      <c r="AL12" s="20" t="n"/>
      <c r="AM12" s="20" t="n"/>
      <c r="AN12" s="20" t="n"/>
      <c r="AO12" s="20" t="n"/>
      <c r="AP12" s="20" t="n"/>
      <c r="AQ12" s="20" t="n"/>
      <c r="AR12" s="20" t="n"/>
      <c r="AS12" s="20" t="n"/>
      <c r="AT12" s="20" t="n"/>
      <c r="AU12" s="20" t="n"/>
      <c r="AV12" s="20" t="n"/>
      <c r="AW12" s="20" t="n"/>
      <c r="AX12" s="20" t="n"/>
    </row>
    <row r="13">
      <c r="A13" t="inlineStr">
        <is>
          <t>Avg India loaded comp — Actual</t>
        </is>
      </c>
      <c r="B13" s="5" t="inlineStr">
        <is>
          <t>$K/yr · central (PlanIt)</t>
        </is>
      </c>
      <c r="C13" s="20"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c r="AA13" s="20" t="n"/>
      <c r="AB13" s="20" t="n"/>
      <c r="AC13" s="20" t="n"/>
      <c r="AD13" s="20" t="n"/>
      <c r="AE13" s="20" t="n"/>
      <c r="AF13" s="20" t="n"/>
      <c r="AG13" s="20" t="n"/>
      <c r="AH13" s="20" t="n"/>
      <c r="AI13" s="20" t="n"/>
      <c r="AJ13" s="20" t="n"/>
      <c r="AK13" s="20" t="n"/>
      <c r="AL13" s="20" t="n"/>
      <c r="AM13" s="20" t="n"/>
      <c r="AN13" s="20" t="n"/>
      <c r="AO13" s="20" t="n"/>
      <c r="AP13" s="20" t="n"/>
      <c r="AQ13" s="20" t="n"/>
      <c r="AR13" s="20" t="n"/>
      <c r="AS13" s="20" t="n"/>
      <c r="AT13" s="20" t="n"/>
      <c r="AU13" s="20" t="n"/>
      <c r="AV13" s="20" t="n"/>
      <c r="AW13" s="20" t="n"/>
      <c r="AX13" s="20" t="n"/>
    </row>
    <row r="14">
      <c r="A14" t="inlineStr">
        <is>
          <t>India attrition in month</t>
        </is>
      </c>
      <c r="B14" s="5" t="inlineStr">
        <is>
          <t>heads · central (HR)</t>
        </is>
      </c>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c r="AA14" s="18" t="n"/>
      <c r="AB14" s="18" t="n"/>
      <c r="AC14" s="18" t="n"/>
      <c r="AD14" s="18" t="n"/>
      <c r="AE14" s="18" t="n"/>
      <c r="AF14" s="18" t="n"/>
      <c r="AG14" s="18" t="n"/>
      <c r="AH14" s="18" t="n"/>
      <c r="AI14" s="18" t="n"/>
      <c r="AJ14" s="18" t="n"/>
      <c r="AK14" s="18" t="n"/>
      <c r="AL14" s="18" t="n"/>
      <c r="AM14" s="18" t="n"/>
      <c r="AN14" s="18" t="n"/>
      <c r="AO14" s="18" t="n"/>
      <c r="AP14" s="18" t="n"/>
      <c r="AQ14" s="18" t="n"/>
      <c r="AR14" s="18" t="n"/>
      <c r="AS14" s="18" t="n"/>
      <c r="AT14" s="18" t="n"/>
      <c r="AU14" s="18" t="n"/>
      <c r="AV14" s="18" t="n"/>
      <c r="AW14" s="18" t="n"/>
      <c r="AX14" s="18" t="n"/>
    </row>
    <row r="15">
      <c r="A15" t="inlineStr">
        <is>
          <t>% of India hires fully productive</t>
        </is>
      </c>
      <c r="B15" s="5" t="inlineStr">
        <is>
          <t>% · org input</t>
        </is>
      </c>
      <c r="C15" s="21" t="n"/>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c r="AA15" s="21" t="n"/>
      <c r="AB15" s="21" t="n"/>
      <c r="AC15" s="21" t="n"/>
      <c r="AD15" s="21" t="n"/>
      <c r="AE15" s="21" t="n"/>
      <c r="AF15" s="21" t="n"/>
      <c r="AG15" s="21" t="n"/>
      <c r="AH15" s="21" t="n"/>
      <c r="AI15" s="21" t="n"/>
      <c r="AJ15" s="21" t="n"/>
      <c r="AK15" s="21" t="n"/>
      <c r="AL15" s="21" t="n"/>
      <c r="AM15" s="21" t="n"/>
      <c r="AN15" s="21" t="n"/>
      <c r="AO15" s="21" t="n"/>
      <c r="AP15" s="21" t="n"/>
      <c r="AQ15" s="21" t="n"/>
      <c r="AR15" s="21" t="n"/>
      <c r="AS15" s="21" t="n"/>
      <c r="AT15" s="21" t="n"/>
      <c r="AU15" s="21" t="n"/>
      <c r="AV15" s="21" t="n"/>
      <c r="AW15" s="21" t="n"/>
      <c r="AX15" s="21" t="n"/>
    </row>
    <row r="16">
      <c r="A16" s="11" t="inlineStr">
        <is>
          <t>B.  GROSS REDUCTIONS REALIZED IN PERIOD</t>
        </is>
      </c>
      <c r="B16" s="16" t="inlineStr"/>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row>
    <row r="17">
      <c r="A17" t="inlineStr">
        <is>
          <t>Professional services — Target</t>
        </is>
      </c>
      <c r="B17" s="5" t="inlineStr">
        <is>
          <t>$K · linked</t>
        </is>
      </c>
      <c r="C17" s="22">
        <f>Targets!C45</f>
        <v/>
      </c>
      <c r="D17" s="22">
        <f>Targets!D45</f>
        <v/>
      </c>
      <c r="E17" s="22">
        <f>Targets!E45</f>
        <v/>
      </c>
      <c r="F17" s="22">
        <f>Targets!F45</f>
        <v/>
      </c>
      <c r="G17" s="22">
        <f>Targets!G45</f>
        <v/>
      </c>
      <c r="H17" s="22">
        <f>Targets!H45</f>
        <v/>
      </c>
      <c r="I17" s="22">
        <f>Targets!I45</f>
        <v/>
      </c>
      <c r="J17" s="22">
        <f>Targets!J45</f>
        <v/>
      </c>
      <c r="K17" s="22">
        <f>Targets!K45</f>
        <v/>
      </c>
      <c r="L17" s="22">
        <f>Targets!L45</f>
        <v/>
      </c>
      <c r="M17" s="22">
        <f>Targets!M45</f>
        <v/>
      </c>
      <c r="N17" s="22">
        <f>Targets!N45</f>
        <v/>
      </c>
      <c r="O17" s="22">
        <f>Targets!O45</f>
        <v/>
      </c>
      <c r="P17" s="22">
        <f>Targets!P45</f>
        <v/>
      </c>
      <c r="Q17" s="22">
        <f>Targets!Q45</f>
        <v/>
      </c>
      <c r="R17" s="22">
        <f>Targets!R45</f>
        <v/>
      </c>
      <c r="S17" s="22">
        <f>Targets!S45</f>
        <v/>
      </c>
      <c r="T17" s="22">
        <f>Targets!T45</f>
        <v/>
      </c>
      <c r="U17" s="22">
        <f>Targets!U45</f>
        <v/>
      </c>
      <c r="V17" s="22">
        <f>Targets!V45</f>
        <v/>
      </c>
      <c r="W17" s="22">
        <f>Targets!W45</f>
        <v/>
      </c>
      <c r="X17" s="22">
        <f>Targets!X45</f>
        <v/>
      </c>
      <c r="Y17" s="22">
        <f>Targets!Y45</f>
        <v/>
      </c>
      <c r="Z17" s="22">
        <f>Targets!Z45</f>
        <v/>
      </c>
      <c r="AA17" s="22">
        <f>Targets!AA45</f>
        <v/>
      </c>
      <c r="AB17" s="22">
        <f>Targets!AB45</f>
        <v/>
      </c>
      <c r="AC17" s="22">
        <f>Targets!AC45</f>
        <v/>
      </c>
      <c r="AD17" s="22">
        <f>Targets!AD45</f>
        <v/>
      </c>
      <c r="AE17" s="22">
        <f>Targets!AE45</f>
        <v/>
      </c>
      <c r="AF17" s="22">
        <f>Targets!AF45</f>
        <v/>
      </c>
      <c r="AG17" s="22">
        <f>Targets!AG45</f>
        <v/>
      </c>
      <c r="AH17" s="22">
        <f>Targets!AH45</f>
        <v/>
      </c>
      <c r="AI17" s="22">
        <f>Targets!AI45</f>
        <v/>
      </c>
      <c r="AJ17" s="22">
        <f>Targets!AJ45</f>
        <v/>
      </c>
      <c r="AK17" s="22">
        <f>Targets!AK45</f>
        <v/>
      </c>
      <c r="AL17" s="22">
        <f>Targets!AL45</f>
        <v/>
      </c>
      <c r="AM17" s="22">
        <f>Targets!AM45</f>
        <v/>
      </c>
      <c r="AN17" s="22">
        <f>Targets!AN45</f>
        <v/>
      </c>
      <c r="AO17" s="22">
        <f>Targets!AO45</f>
        <v/>
      </c>
      <c r="AP17" s="22">
        <f>Targets!AP45</f>
        <v/>
      </c>
      <c r="AQ17" s="22">
        <f>Targets!AQ45</f>
        <v/>
      </c>
      <c r="AR17" s="22">
        <f>Targets!AR45</f>
        <v/>
      </c>
      <c r="AS17" s="22">
        <f>Targets!AS45</f>
        <v/>
      </c>
      <c r="AT17" s="22">
        <f>Targets!AT45</f>
        <v/>
      </c>
      <c r="AU17" s="22">
        <f>Targets!AU45</f>
        <v/>
      </c>
      <c r="AV17" s="22">
        <f>Targets!AV45</f>
        <v/>
      </c>
      <c r="AW17" s="22">
        <f>Targets!AW45</f>
        <v/>
      </c>
      <c r="AX17" s="22">
        <f>Targets!AX45</f>
        <v/>
      </c>
    </row>
    <row r="18">
      <c r="A18" t="inlineStr">
        <is>
          <t>Professional services — Actual</t>
        </is>
      </c>
      <c r="B18" s="5" t="inlineStr">
        <is>
          <t>$K · org input</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row>
    <row r="19">
      <c r="A19" t="inlineStr">
        <is>
          <t>Offshore contractors — Target</t>
        </is>
      </c>
      <c r="B19" s="5" t="inlineStr">
        <is>
          <t>$K · linked</t>
        </is>
      </c>
      <c r="C19" s="22">
        <f>Targets!C46</f>
        <v/>
      </c>
      <c r="D19" s="22">
        <f>Targets!D46</f>
        <v/>
      </c>
      <c r="E19" s="22">
        <f>Targets!E46</f>
        <v/>
      </c>
      <c r="F19" s="22">
        <f>Targets!F46</f>
        <v/>
      </c>
      <c r="G19" s="22">
        <f>Targets!G46</f>
        <v/>
      </c>
      <c r="H19" s="22">
        <f>Targets!H46</f>
        <v/>
      </c>
      <c r="I19" s="22">
        <f>Targets!I46</f>
        <v/>
      </c>
      <c r="J19" s="22">
        <f>Targets!J46</f>
        <v/>
      </c>
      <c r="K19" s="22">
        <f>Targets!K46</f>
        <v/>
      </c>
      <c r="L19" s="22">
        <f>Targets!L46</f>
        <v/>
      </c>
      <c r="M19" s="22">
        <f>Targets!M46</f>
        <v/>
      </c>
      <c r="N19" s="22">
        <f>Targets!N46</f>
        <v/>
      </c>
      <c r="O19" s="22">
        <f>Targets!O46</f>
        <v/>
      </c>
      <c r="P19" s="22">
        <f>Targets!P46</f>
        <v/>
      </c>
      <c r="Q19" s="22">
        <f>Targets!Q46</f>
        <v/>
      </c>
      <c r="R19" s="22">
        <f>Targets!R46</f>
        <v/>
      </c>
      <c r="S19" s="22">
        <f>Targets!S46</f>
        <v/>
      </c>
      <c r="T19" s="22">
        <f>Targets!T46</f>
        <v/>
      </c>
      <c r="U19" s="22">
        <f>Targets!U46</f>
        <v/>
      </c>
      <c r="V19" s="22">
        <f>Targets!V46</f>
        <v/>
      </c>
      <c r="W19" s="22">
        <f>Targets!W46</f>
        <v/>
      </c>
      <c r="X19" s="22">
        <f>Targets!X46</f>
        <v/>
      </c>
      <c r="Y19" s="22">
        <f>Targets!Y46</f>
        <v/>
      </c>
      <c r="Z19" s="22">
        <f>Targets!Z46</f>
        <v/>
      </c>
      <c r="AA19" s="22">
        <f>Targets!AA46</f>
        <v/>
      </c>
      <c r="AB19" s="22">
        <f>Targets!AB46</f>
        <v/>
      </c>
      <c r="AC19" s="22">
        <f>Targets!AC46</f>
        <v/>
      </c>
      <c r="AD19" s="22">
        <f>Targets!AD46</f>
        <v/>
      </c>
      <c r="AE19" s="22">
        <f>Targets!AE46</f>
        <v/>
      </c>
      <c r="AF19" s="22">
        <f>Targets!AF46</f>
        <v/>
      </c>
      <c r="AG19" s="22">
        <f>Targets!AG46</f>
        <v/>
      </c>
      <c r="AH19" s="22">
        <f>Targets!AH46</f>
        <v/>
      </c>
      <c r="AI19" s="22">
        <f>Targets!AI46</f>
        <v/>
      </c>
      <c r="AJ19" s="22">
        <f>Targets!AJ46</f>
        <v/>
      </c>
      <c r="AK19" s="22">
        <f>Targets!AK46</f>
        <v/>
      </c>
      <c r="AL19" s="22">
        <f>Targets!AL46</f>
        <v/>
      </c>
      <c r="AM19" s="22">
        <f>Targets!AM46</f>
        <v/>
      </c>
      <c r="AN19" s="22">
        <f>Targets!AN46</f>
        <v/>
      </c>
      <c r="AO19" s="22">
        <f>Targets!AO46</f>
        <v/>
      </c>
      <c r="AP19" s="22">
        <f>Targets!AP46</f>
        <v/>
      </c>
      <c r="AQ19" s="22">
        <f>Targets!AQ46</f>
        <v/>
      </c>
      <c r="AR19" s="22">
        <f>Targets!AR46</f>
        <v/>
      </c>
      <c r="AS19" s="22">
        <f>Targets!AS46</f>
        <v/>
      </c>
      <c r="AT19" s="22">
        <f>Targets!AT46</f>
        <v/>
      </c>
      <c r="AU19" s="22">
        <f>Targets!AU46</f>
        <v/>
      </c>
      <c r="AV19" s="22">
        <f>Targets!AV46</f>
        <v/>
      </c>
      <c r="AW19" s="22">
        <f>Targets!AW46</f>
        <v/>
      </c>
      <c r="AX19" s="22">
        <f>Targets!AX46</f>
        <v/>
      </c>
    </row>
    <row r="20">
      <c r="A20" t="inlineStr">
        <is>
          <t>Offshore contractors — Actual</t>
        </is>
      </c>
      <c r="B20" s="5" t="inlineStr">
        <is>
          <t>$K · org input</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row>
    <row r="21">
      <c r="A21" t="inlineStr">
        <is>
          <t>Onshore contractors — Target</t>
        </is>
      </c>
      <c r="B21" s="5" t="inlineStr">
        <is>
          <t>$K · linked</t>
        </is>
      </c>
      <c r="C21" s="22">
        <f>Targets!C47</f>
        <v/>
      </c>
      <c r="D21" s="22">
        <f>Targets!D47</f>
        <v/>
      </c>
      <c r="E21" s="22">
        <f>Targets!E47</f>
        <v/>
      </c>
      <c r="F21" s="22">
        <f>Targets!F47</f>
        <v/>
      </c>
      <c r="G21" s="22">
        <f>Targets!G47</f>
        <v/>
      </c>
      <c r="H21" s="22">
        <f>Targets!H47</f>
        <v/>
      </c>
      <c r="I21" s="22">
        <f>Targets!I47</f>
        <v/>
      </c>
      <c r="J21" s="22">
        <f>Targets!J47</f>
        <v/>
      </c>
      <c r="K21" s="22">
        <f>Targets!K47</f>
        <v/>
      </c>
      <c r="L21" s="22">
        <f>Targets!L47</f>
        <v/>
      </c>
      <c r="M21" s="22">
        <f>Targets!M47</f>
        <v/>
      </c>
      <c r="N21" s="22">
        <f>Targets!N47</f>
        <v/>
      </c>
      <c r="O21" s="22">
        <f>Targets!O47</f>
        <v/>
      </c>
      <c r="P21" s="22">
        <f>Targets!P47</f>
        <v/>
      </c>
      <c r="Q21" s="22">
        <f>Targets!Q47</f>
        <v/>
      </c>
      <c r="R21" s="22">
        <f>Targets!R47</f>
        <v/>
      </c>
      <c r="S21" s="22">
        <f>Targets!S47</f>
        <v/>
      </c>
      <c r="T21" s="22">
        <f>Targets!T47</f>
        <v/>
      </c>
      <c r="U21" s="22">
        <f>Targets!U47</f>
        <v/>
      </c>
      <c r="V21" s="22">
        <f>Targets!V47</f>
        <v/>
      </c>
      <c r="W21" s="22">
        <f>Targets!W47</f>
        <v/>
      </c>
      <c r="X21" s="22">
        <f>Targets!X47</f>
        <v/>
      </c>
      <c r="Y21" s="22">
        <f>Targets!Y47</f>
        <v/>
      </c>
      <c r="Z21" s="22">
        <f>Targets!Z47</f>
        <v/>
      </c>
      <c r="AA21" s="22">
        <f>Targets!AA47</f>
        <v/>
      </c>
      <c r="AB21" s="22">
        <f>Targets!AB47</f>
        <v/>
      </c>
      <c r="AC21" s="22">
        <f>Targets!AC47</f>
        <v/>
      </c>
      <c r="AD21" s="22">
        <f>Targets!AD47</f>
        <v/>
      </c>
      <c r="AE21" s="22">
        <f>Targets!AE47</f>
        <v/>
      </c>
      <c r="AF21" s="22">
        <f>Targets!AF47</f>
        <v/>
      </c>
      <c r="AG21" s="22">
        <f>Targets!AG47</f>
        <v/>
      </c>
      <c r="AH21" s="22">
        <f>Targets!AH47</f>
        <v/>
      </c>
      <c r="AI21" s="22">
        <f>Targets!AI47</f>
        <v/>
      </c>
      <c r="AJ21" s="22">
        <f>Targets!AJ47</f>
        <v/>
      </c>
      <c r="AK21" s="22">
        <f>Targets!AK47</f>
        <v/>
      </c>
      <c r="AL21" s="22">
        <f>Targets!AL47</f>
        <v/>
      </c>
      <c r="AM21" s="22">
        <f>Targets!AM47</f>
        <v/>
      </c>
      <c r="AN21" s="22">
        <f>Targets!AN47</f>
        <v/>
      </c>
      <c r="AO21" s="22">
        <f>Targets!AO47</f>
        <v/>
      </c>
      <c r="AP21" s="22">
        <f>Targets!AP47</f>
        <v/>
      </c>
      <c r="AQ21" s="22">
        <f>Targets!AQ47</f>
        <v/>
      </c>
      <c r="AR21" s="22">
        <f>Targets!AR47</f>
        <v/>
      </c>
      <c r="AS21" s="22">
        <f>Targets!AS47</f>
        <v/>
      </c>
      <c r="AT21" s="22">
        <f>Targets!AT47</f>
        <v/>
      </c>
      <c r="AU21" s="22">
        <f>Targets!AU47</f>
        <v/>
      </c>
      <c r="AV21" s="22">
        <f>Targets!AV47</f>
        <v/>
      </c>
      <c r="AW21" s="22">
        <f>Targets!AW47</f>
        <v/>
      </c>
      <c r="AX21" s="22">
        <f>Targets!AX47</f>
        <v/>
      </c>
    </row>
    <row r="22">
      <c r="A22" t="inlineStr">
        <is>
          <t>Onshore contractors — Actual</t>
        </is>
      </c>
      <c r="B22" s="5" t="inlineStr">
        <is>
          <t>$K · org input</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row>
    <row r="23">
      <c r="A23" t="inlineStr">
        <is>
          <t>Employees / Other — Target</t>
        </is>
      </c>
      <c r="B23" s="5" t="inlineStr">
        <is>
          <t>$K · linked</t>
        </is>
      </c>
      <c r="C23" s="22">
        <f>Targets!C48</f>
        <v/>
      </c>
      <c r="D23" s="22">
        <f>Targets!D48</f>
        <v/>
      </c>
      <c r="E23" s="22">
        <f>Targets!E48</f>
        <v/>
      </c>
      <c r="F23" s="22">
        <f>Targets!F48</f>
        <v/>
      </c>
      <c r="G23" s="22">
        <f>Targets!G48</f>
        <v/>
      </c>
      <c r="H23" s="22">
        <f>Targets!H48</f>
        <v/>
      </c>
      <c r="I23" s="22">
        <f>Targets!I48</f>
        <v/>
      </c>
      <c r="J23" s="22">
        <f>Targets!J48</f>
        <v/>
      </c>
      <c r="K23" s="22">
        <f>Targets!K48</f>
        <v/>
      </c>
      <c r="L23" s="22">
        <f>Targets!L48</f>
        <v/>
      </c>
      <c r="M23" s="22">
        <f>Targets!M48</f>
        <v/>
      </c>
      <c r="N23" s="22">
        <f>Targets!N48</f>
        <v/>
      </c>
      <c r="O23" s="22">
        <f>Targets!O48</f>
        <v/>
      </c>
      <c r="P23" s="22">
        <f>Targets!P48</f>
        <v/>
      </c>
      <c r="Q23" s="22">
        <f>Targets!Q48</f>
        <v/>
      </c>
      <c r="R23" s="22">
        <f>Targets!R48</f>
        <v/>
      </c>
      <c r="S23" s="22">
        <f>Targets!S48</f>
        <v/>
      </c>
      <c r="T23" s="22">
        <f>Targets!T48</f>
        <v/>
      </c>
      <c r="U23" s="22">
        <f>Targets!U48</f>
        <v/>
      </c>
      <c r="V23" s="22">
        <f>Targets!V48</f>
        <v/>
      </c>
      <c r="W23" s="22">
        <f>Targets!W48</f>
        <v/>
      </c>
      <c r="X23" s="22">
        <f>Targets!X48</f>
        <v/>
      </c>
      <c r="Y23" s="22">
        <f>Targets!Y48</f>
        <v/>
      </c>
      <c r="Z23" s="22">
        <f>Targets!Z48</f>
        <v/>
      </c>
      <c r="AA23" s="22">
        <f>Targets!AA48</f>
        <v/>
      </c>
      <c r="AB23" s="22">
        <f>Targets!AB48</f>
        <v/>
      </c>
      <c r="AC23" s="22">
        <f>Targets!AC48</f>
        <v/>
      </c>
      <c r="AD23" s="22">
        <f>Targets!AD48</f>
        <v/>
      </c>
      <c r="AE23" s="22">
        <f>Targets!AE48</f>
        <v/>
      </c>
      <c r="AF23" s="22">
        <f>Targets!AF48</f>
        <v/>
      </c>
      <c r="AG23" s="22">
        <f>Targets!AG48</f>
        <v/>
      </c>
      <c r="AH23" s="22">
        <f>Targets!AH48</f>
        <v/>
      </c>
      <c r="AI23" s="22">
        <f>Targets!AI48</f>
        <v/>
      </c>
      <c r="AJ23" s="22">
        <f>Targets!AJ48</f>
        <v/>
      </c>
      <c r="AK23" s="22">
        <f>Targets!AK48</f>
        <v/>
      </c>
      <c r="AL23" s="22">
        <f>Targets!AL48</f>
        <v/>
      </c>
      <c r="AM23" s="22">
        <f>Targets!AM48</f>
        <v/>
      </c>
      <c r="AN23" s="22">
        <f>Targets!AN48</f>
        <v/>
      </c>
      <c r="AO23" s="22">
        <f>Targets!AO48</f>
        <v/>
      </c>
      <c r="AP23" s="22">
        <f>Targets!AP48</f>
        <v/>
      </c>
      <c r="AQ23" s="22">
        <f>Targets!AQ48</f>
        <v/>
      </c>
      <c r="AR23" s="22">
        <f>Targets!AR48</f>
        <v/>
      </c>
      <c r="AS23" s="22">
        <f>Targets!AS48</f>
        <v/>
      </c>
      <c r="AT23" s="22">
        <f>Targets!AT48</f>
        <v/>
      </c>
      <c r="AU23" s="22">
        <f>Targets!AU48</f>
        <v/>
      </c>
      <c r="AV23" s="22">
        <f>Targets!AV48</f>
        <v/>
      </c>
      <c r="AW23" s="22">
        <f>Targets!AW48</f>
        <v/>
      </c>
      <c r="AX23" s="22">
        <f>Targets!AX48</f>
        <v/>
      </c>
    </row>
    <row r="24">
      <c r="A24" t="inlineStr">
        <is>
          <t>Employees / Other — Actual</t>
        </is>
      </c>
      <c r="B24" s="5" t="inlineStr">
        <is>
          <t>$K · org input</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row>
    <row r="25">
      <c r="A25" t="inlineStr">
        <is>
          <t>Total gross reductions — Target</t>
        </is>
      </c>
      <c r="B25" s="5" t="inlineStr">
        <is>
          <t>$K · auto</t>
        </is>
      </c>
      <c r="C25" s="15">
        <f>C17+C19+C21+C23</f>
        <v/>
      </c>
      <c r="D25" s="15">
        <f>D17+D19+D21+D23</f>
        <v/>
      </c>
      <c r="E25" s="15">
        <f>E17+E19+E21+E23</f>
        <v/>
      </c>
      <c r="F25" s="15">
        <f>F17+F19+F21+F23</f>
        <v/>
      </c>
      <c r="G25" s="15">
        <f>G17+G19+G21+G23</f>
        <v/>
      </c>
      <c r="H25" s="15">
        <f>H17+H19+H21+H23</f>
        <v/>
      </c>
      <c r="I25" s="15">
        <f>I17+I19+I21+I23</f>
        <v/>
      </c>
      <c r="J25" s="15">
        <f>J17+J19+J21+J23</f>
        <v/>
      </c>
      <c r="K25" s="15">
        <f>K17+K19+K21+K23</f>
        <v/>
      </c>
      <c r="L25" s="15">
        <f>L17+L19+L21+L23</f>
        <v/>
      </c>
      <c r="M25" s="15">
        <f>M17+M19+M21+M23</f>
        <v/>
      </c>
      <c r="N25" s="15">
        <f>N17+N19+N21+N23</f>
        <v/>
      </c>
      <c r="O25" s="15">
        <f>O17+O19+O21+O23</f>
        <v/>
      </c>
      <c r="P25" s="15">
        <f>P17+P19+P21+P23</f>
        <v/>
      </c>
      <c r="Q25" s="15">
        <f>Q17+Q19+Q21+Q23</f>
        <v/>
      </c>
      <c r="R25" s="15">
        <f>R17+R19+R21+R23</f>
        <v/>
      </c>
      <c r="S25" s="15">
        <f>S17+S19+S21+S23</f>
        <v/>
      </c>
      <c r="T25" s="15">
        <f>T17+T19+T21+T23</f>
        <v/>
      </c>
      <c r="U25" s="15">
        <f>U17+U19+U21+U23</f>
        <v/>
      </c>
      <c r="V25" s="15">
        <f>V17+V19+V21+V23</f>
        <v/>
      </c>
      <c r="W25" s="15">
        <f>W17+W19+W21+W23</f>
        <v/>
      </c>
      <c r="X25" s="15">
        <f>X17+X19+X21+X23</f>
        <v/>
      </c>
      <c r="Y25" s="15">
        <f>Y17+Y19+Y21+Y23</f>
        <v/>
      </c>
      <c r="Z25" s="15">
        <f>Z17+Z19+Z21+Z23</f>
        <v/>
      </c>
      <c r="AA25" s="15">
        <f>AA17+AA19+AA21+AA23</f>
        <v/>
      </c>
      <c r="AB25" s="15">
        <f>AB17+AB19+AB21+AB23</f>
        <v/>
      </c>
      <c r="AC25" s="15">
        <f>AC17+AC19+AC21+AC23</f>
        <v/>
      </c>
      <c r="AD25" s="15">
        <f>AD17+AD19+AD21+AD23</f>
        <v/>
      </c>
      <c r="AE25" s="15">
        <f>AE17+AE19+AE21+AE23</f>
        <v/>
      </c>
      <c r="AF25" s="15">
        <f>AF17+AF19+AF21+AF23</f>
        <v/>
      </c>
      <c r="AG25" s="15">
        <f>AG17+AG19+AG21+AG23</f>
        <v/>
      </c>
      <c r="AH25" s="15">
        <f>AH17+AH19+AH21+AH23</f>
        <v/>
      </c>
      <c r="AI25" s="15">
        <f>AI17+AI19+AI21+AI23</f>
        <v/>
      </c>
      <c r="AJ25" s="15">
        <f>AJ17+AJ19+AJ21+AJ23</f>
        <v/>
      </c>
      <c r="AK25" s="15">
        <f>AK17+AK19+AK21+AK23</f>
        <v/>
      </c>
      <c r="AL25" s="15">
        <f>AL17+AL19+AL21+AL23</f>
        <v/>
      </c>
      <c r="AM25" s="15">
        <f>AM17+AM19+AM21+AM23</f>
        <v/>
      </c>
      <c r="AN25" s="15">
        <f>AN17+AN19+AN21+AN23</f>
        <v/>
      </c>
      <c r="AO25" s="15">
        <f>AO17+AO19+AO21+AO23</f>
        <v/>
      </c>
      <c r="AP25" s="15">
        <f>AP17+AP19+AP21+AP23</f>
        <v/>
      </c>
      <c r="AQ25" s="15">
        <f>AQ17+AQ19+AQ21+AQ23</f>
        <v/>
      </c>
      <c r="AR25" s="15">
        <f>AR17+AR19+AR21+AR23</f>
        <v/>
      </c>
      <c r="AS25" s="15">
        <f>AS17+AS19+AS21+AS23</f>
        <v/>
      </c>
      <c r="AT25" s="15">
        <f>AT17+AT19+AT21+AT23</f>
        <v/>
      </c>
      <c r="AU25" s="15">
        <f>AU17+AU19+AU21+AU23</f>
        <v/>
      </c>
      <c r="AV25" s="15">
        <f>AV17+AV19+AV21+AV23</f>
        <v/>
      </c>
      <c r="AW25" s="15">
        <f>AW17+AW19+AW21+AW23</f>
        <v/>
      </c>
      <c r="AX25" s="15">
        <f>AX17+AX19+AX21+AX23</f>
        <v/>
      </c>
    </row>
    <row r="26">
      <c r="A26" t="inlineStr">
        <is>
          <t>Total gross reductions — Actual</t>
        </is>
      </c>
      <c r="B26" s="5" t="inlineStr">
        <is>
          <t>$K · auto</t>
        </is>
      </c>
      <c r="C26" s="15">
        <f>C18+C20+C22+C24</f>
        <v/>
      </c>
      <c r="D26" s="15">
        <f>D18+D20+D22+D24</f>
        <v/>
      </c>
      <c r="E26" s="15">
        <f>E18+E20+E22+E24</f>
        <v/>
      </c>
      <c r="F26" s="15">
        <f>F18+F20+F22+F24</f>
        <v/>
      </c>
      <c r="G26" s="15">
        <f>G18+G20+G22+G24</f>
        <v/>
      </c>
      <c r="H26" s="15">
        <f>H18+H20+H22+H24</f>
        <v/>
      </c>
      <c r="I26" s="15">
        <f>I18+I20+I22+I24</f>
        <v/>
      </c>
      <c r="J26" s="15">
        <f>J18+J20+J22+J24</f>
        <v/>
      </c>
      <c r="K26" s="15">
        <f>K18+K20+K22+K24</f>
        <v/>
      </c>
      <c r="L26" s="15">
        <f>L18+L20+L22+L24</f>
        <v/>
      </c>
      <c r="M26" s="15">
        <f>M18+M20+M22+M24</f>
        <v/>
      </c>
      <c r="N26" s="15">
        <f>N18+N20+N22+N24</f>
        <v/>
      </c>
      <c r="O26" s="15">
        <f>O18+O20+O22+O24</f>
        <v/>
      </c>
      <c r="P26" s="15">
        <f>P18+P20+P22+P24</f>
        <v/>
      </c>
      <c r="Q26" s="15">
        <f>Q18+Q20+Q22+Q24</f>
        <v/>
      </c>
      <c r="R26" s="15">
        <f>R18+R20+R22+R24</f>
        <v/>
      </c>
      <c r="S26" s="15">
        <f>S18+S20+S22+S24</f>
        <v/>
      </c>
      <c r="T26" s="15">
        <f>T18+T20+T22+T24</f>
        <v/>
      </c>
      <c r="U26" s="15">
        <f>U18+U20+U22+U24</f>
        <v/>
      </c>
      <c r="V26" s="15">
        <f>V18+V20+V22+V24</f>
        <v/>
      </c>
      <c r="W26" s="15">
        <f>W18+W20+W22+W24</f>
        <v/>
      </c>
      <c r="X26" s="15">
        <f>X18+X20+X22+X24</f>
        <v/>
      </c>
      <c r="Y26" s="15">
        <f>Y18+Y20+Y22+Y24</f>
        <v/>
      </c>
      <c r="Z26" s="15">
        <f>Z18+Z20+Z22+Z24</f>
        <v/>
      </c>
      <c r="AA26" s="15">
        <f>AA18+AA20+AA22+AA24</f>
        <v/>
      </c>
      <c r="AB26" s="15">
        <f>AB18+AB20+AB22+AB24</f>
        <v/>
      </c>
      <c r="AC26" s="15">
        <f>AC18+AC20+AC22+AC24</f>
        <v/>
      </c>
      <c r="AD26" s="15">
        <f>AD18+AD20+AD22+AD24</f>
        <v/>
      </c>
      <c r="AE26" s="15">
        <f>AE18+AE20+AE22+AE24</f>
        <v/>
      </c>
      <c r="AF26" s="15">
        <f>AF18+AF20+AF22+AF24</f>
        <v/>
      </c>
      <c r="AG26" s="15">
        <f>AG18+AG20+AG22+AG24</f>
        <v/>
      </c>
      <c r="AH26" s="15">
        <f>AH18+AH20+AH22+AH24</f>
        <v/>
      </c>
      <c r="AI26" s="15">
        <f>AI18+AI20+AI22+AI24</f>
        <v/>
      </c>
      <c r="AJ26" s="15">
        <f>AJ18+AJ20+AJ22+AJ24</f>
        <v/>
      </c>
      <c r="AK26" s="15">
        <f>AK18+AK20+AK22+AK24</f>
        <v/>
      </c>
      <c r="AL26" s="15">
        <f>AL18+AL20+AL22+AL24</f>
        <v/>
      </c>
      <c r="AM26" s="15">
        <f>AM18+AM20+AM22+AM24</f>
        <v/>
      </c>
      <c r="AN26" s="15">
        <f>AN18+AN20+AN22+AN24</f>
        <v/>
      </c>
      <c r="AO26" s="15">
        <f>AO18+AO20+AO22+AO24</f>
        <v/>
      </c>
      <c r="AP26" s="15">
        <f>AP18+AP20+AP22+AP24</f>
        <v/>
      </c>
      <c r="AQ26" s="15">
        <f>AQ18+AQ20+AQ22+AQ24</f>
        <v/>
      </c>
      <c r="AR26" s="15">
        <f>AR18+AR20+AR22+AR24</f>
        <v/>
      </c>
      <c r="AS26" s="15">
        <f>AS18+AS20+AS22+AS24</f>
        <v/>
      </c>
      <c r="AT26" s="15">
        <f>AT18+AT20+AT22+AT24</f>
        <v/>
      </c>
      <c r="AU26" s="15">
        <f>AU18+AU20+AU22+AU24</f>
        <v/>
      </c>
      <c r="AV26" s="15">
        <f>AV18+AV20+AV22+AV24</f>
        <v/>
      </c>
      <c r="AW26" s="15">
        <f>AW18+AW20+AW22+AW24</f>
        <v/>
      </c>
      <c r="AX26" s="15">
        <f>AX18+AX20+AX22+AX24</f>
        <v/>
      </c>
    </row>
    <row r="27">
      <c r="A27" t="inlineStr">
        <is>
          <t>Gross reductions variance</t>
        </is>
      </c>
      <c r="B27" s="5" t="inlineStr">
        <is>
          <t>$K · auto</t>
        </is>
      </c>
      <c r="C27" s="24">
        <f>C26-C25</f>
        <v/>
      </c>
      <c r="D27" s="24">
        <f>D26-D25</f>
        <v/>
      </c>
      <c r="E27" s="24">
        <f>E26-E25</f>
        <v/>
      </c>
      <c r="F27" s="24">
        <f>F26-F25</f>
        <v/>
      </c>
      <c r="G27" s="24">
        <f>G26-G25</f>
        <v/>
      </c>
      <c r="H27" s="24">
        <f>H26-H25</f>
        <v/>
      </c>
      <c r="I27" s="24">
        <f>I26-I25</f>
        <v/>
      </c>
      <c r="J27" s="24">
        <f>J26-J25</f>
        <v/>
      </c>
      <c r="K27" s="24">
        <f>K26-K25</f>
        <v/>
      </c>
      <c r="L27" s="24">
        <f>L26-L25</f>
        <v/>
      </c>
      <c r="M27" s="24">
        <f>M26-M25</f>
        <v/>
      </c>
      <c r="N27" s="24">
        <f>N26-N25</f>
        <v/>
      </c>
      <c r="O27" s="24">
        <f>O26-O25</f>
        <v/>
      </c>
      <c r="P27" s="24">
        <f>P26-P25</f>
        <v/>
      </c>
      <c r="Q27" s="24">
        <f>Q26-Q25</f>
        <v/>
      </c>
      <c r="R27" s="24">
        <f>R26-R25</f>
        <v/>
      </c>
      <c r="S27" s="24">
        <f>S26-S25</f>
        <v/>
      </c>
      <c r="T27" s="24">
        <f>T26-T25</f>
        <v/>
      </c>
      <c r="U27" s="24">
        <f>U26-U25</f>
        <v/>
      </c>
      <c r="V27" s="24">
        <f>V26-V25</f>
        <v/>
      </c>
      <c r="W27" s="24">
        <f>W26-W25</f>
        <v/>
      </c>
      <c r="X27" s="24">
        <f>X26-X25</f>
        <v/>
      </c>
      <c r="Y27" s="24">
        <f>Y26-Y25</f>
        <v/>
      </c>
      <c r="Z27" s="24">
        <f>Z26-Z25</f>
        <v/>
      </c>
      <c r="AA27" s="24">
        <f>AA26-AA25</f>
        <v/>
      </c>
      <c r="AB27" s="24">
        <f>AB26-AB25</f>
        <v/>
      </c>
      <c r="AC27" s="24">
        <f>AC26-AC25</f>
        <v/>
      </c>
      <c r="AD27" s="24">
        <f>AD26-AD25</f>
        <v/>
      </c>
      <c r="AE27" s="24">
        <f>AE26-AE25</f>
        <v/>
      </c>
      <c r="AF27" s="24">
        <f>AF26-AF25</f>
        <v/>
      </c>
      <c r="AG27" s="24">
        <f>AG26-AG25</f>
        <v/>
      </c>
      <c r="AH27" s="24">
        <f>AH26-AH25</f>
        <v/>
      </c>
      <c r="AI27" s="24">
        <f>AI26-AI25</f>
        <v/>
      </c>
      <c r="AJ27" s="24">
        <f>AJ26-AJ25</f>
        <v/>
      </c>
      <c r="AK27" s="24">
        <f>AK26-AK25</f>
        <v/>
      </c>
      <c r="AL27" s="24">
        <f>AL26-AL25</f>
        <v/>
      </c>
      <c r="AM27" s="24">
        <f>AM26-AM25</f>
        <v/>
      </c>
      <c r="AN27" s="24">
        <f>AN26-AN25</f>
        <v/>
      </c>
      <c r="AO27" s="24">
        <f>AO26-AO25</f>
        <v/>
      </c>
      <c r="AP27" s="24">
        <f>AP26-AP25</f>
        <v/>
      </c>
      <c r="AQ27" s="24">
        <f>AQ26-AQ25</f>
        <v/>
      </c>
      <c r="AR27" s="24">
        <f>AR26-AR25</f>
        <v/>
      </c>
      <c r="AS27" s="24">
        <f>AS26-AS25</f>
        <v/>
      </c>
      <c r="AT27" s="24">
        <f>AT26-AT25</f>
        <v/>
      </c>
      <c r="AU27" s="24">
        <f>AU26-AU25</f>
        <v/>
      </c>
      <c r="AV27" s="24">
        <f>AV26-AV25</f>
        <v/>
      </c>
      <c r="AW27" s="24">
        <f>AW26-AW25</f>
        <v/>
      </c>
      <c r="AX27" s="24">
        <f>AX26-AX25</f>
        <v/>
      </c>
    </row>
    <row r="28">
      <c r="A28" t="inlineStr">
        <is>
          <t>Headcount reduced in month — Actual</t>
        </is>
      </c>
      <c r="B28" s="5" t="inlineStr">
        <is>
          <t>heads · org input</t>
        </is>
      </c>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c r="Z28" s="25" t="n"/>
      <c r="AA28" s="25" t="n"/>
      <c r="AB28" s="25" t="n"/>
      <c r="AC28" s="25" t="n"/>
      <c r="AD28" s="25" t="n"/>
      <c r="AE28" s="25" t="n"/>
      <c r="AF28" s="25" t="n"/>
      <c r="AG28" s="25" t="n"/>
      <c r="AH28" s="25" t="n"/>
      <c r="AI28" s="25" t="n"/>
      <c r="AJ28" s="25" t="n"/>
      <c r="AK28" s="25" t="n"/>
      <c r="AL28" s="25" t="n"/>
      <c r="AM28" s="25" t="n"/>
      <c r="AN28" s="25" t="n"/>
      <c r="AO28" s="25" t="n"/>
      <c r="AP28" s="25" t="n"/>
      <c r="AQ28" s="25" t="n"/>
      <c r="AR28" s="25" t="n"/>
      <c r="AS28" s="25" t="n"/>
      <c r="AT28" s="25" t="n"/>
      <c r="AU28" s="25" t="n"/>
      <c r="AV28" s="25" t="n"/>
      <c r="AW28" s="25" t="n"/>
      <c r="AX28" s="25" t="n"/>
    </row>
    <row r="29">
      <c r="A29" t="inlineStr">
        <is>
          <t>Exit run-rate of reductions (annualized)</t>
        </is>
      </c>
      <c r="B29" s="5" t="inlineStr">
        <is>
          <t>$K · org input</t>
        </is>
      </c>
      <c r="C29" s="23" t="n"/>
      <c r="D29" s="23" t="n"/>
      <c r="E29" s="23" t="n"/>
      <c r="F29" s="23" t="n"/>
      <c r="G29" s="23" t="n"/>
      <c r="H29" s="23" t="n"/>
      <c r="I29" s="23" t="n"/>
      <c r="J29" s="23" t="n"/>
      <c r="K29" s="23" t="n"/>
      <c r="L29" s="23" t="n"/>
      <c r="M29" s="23" t="n"/>
      <c r="N29" s="23" t="n"/>
      <c r="O29" s="23" t="n"/>
      <c r="P29" s="23" t="n"/>
      <c r="Q29" s="23" t="n"/>
      <c r="R29" s="23" t="n"/>
      <c r="S29" s="23" t="n"/>
      <c r="T29" s="23" t="n"/>
      <c r="U29" s="23" t="n"/>
      <c r="V29" s="23" t="n"/>
      <c r="W29" s="23" t="n"/>
      <c r="X29" s="23" t="n"/>
      <c r="Y29" s="23" t="n"/>
      <c r="Z29" s="23" t="n"/>
      <c r="AA29" s="23" t="n"/>
      <c r="AB29" s="23" t="n"/>
      <c r="AC29" s="23" t="n"/>
      <c r="AD29" s="23" t="n"/>
      <c r="AE29" s="23" t="n"/>
      <c r="AF29" s="23" t="n"/>
      <c r="AG29" s="23" t="n"/>
      <c r="AH29" s="23" t="n"/>
      <c r="AI29" s="23" t="n"/>
      <c r="AJ29" s="23" t="n"/>
      <c r="AK29" s="23" t="n"/>
      <c r="AL29" s="23" t="n"/>
      <c r="AM29" s="23" t="n"/>
      <c r="AN29" s="23" t="n"/>
      <c r="AO29" s="23" t="n"/>
      <c r="AP29" s="23" t="n"/>
      <c r="AQ29" s="23" t="n"/>
      <c r="AR29" s="23" t="n"/>
      <c r="AS29" s="23" t="n"/>
      <c r="AT29" s="23" t="n"/>
      <c r="AU29" s="23" t="n"/>
      <c r="AV29" s="23" t="n"/>
      <c r="AW29" s="23" t="n"/>
      <c r="AX29" s="23" t="n"/>
    </row>
    <row r="30">
      <c r="A30" s="11" t="inlineStr">
        <is>
          <t>C.  INDIA COST ADDS</t>
        </is>
      </c>
      <c r="B30" s="16" t="inlineStr"/>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row>
    <row r="31">
      <c r="A31" t="inlineStr">
        <is>
          <t>India loaded cost adds — Target</t>
        </is>
      </c>
      <c r="B31" s="5" t="inlineStr">
        <is>
          <t>$K · linked</t>
        </is>
      </c>
      <c r="C31" s="22">
        <f>Targets!C49</f>
        <v/>
      </c>
      <c r="D31" s="22">
        <f>Targets!D49</f>
        <v/>
      </c>
      <c r="E31" s="22">
        <f>Targets!E49</f>
        <v/>
      </c>
      <c r="F31" s="22">
        <f>Targets!F49</f>
        <v/>
      </c>
      <c r="G31" s="22">
        <f>Targets!G49</f>
        <v/>
      </c>
      <c r="H31" s="22">
        <f>Targets!H49</f>
        <v/>
      </c>
      <c r="I31" s="22">
        <f>Targets!I49</f>
        <v/>
      </c>
      <c r="J31" s="22">
        <f>Targets!J49</f>
        <v/>
      </c>
      <c r="K31" s="22">
        <f>Targets!K49</f>
        <v/>
      </c>
      <c r="L31" s="22">
        <f>Targets!L49</f>
        <v/>
      </c>
      <c r="M31" s="22">
        <f>Targets!M49</f>
        <v/>
      </c>
      <c r="N31" s="22">
        <f>Targets!N49</f>
        <v/>
      </c>
      <c r="O31" s="22">
        <f>Targets!O49</f>
        <v/>
      </c>
      <c r="P31" s="22">
        <f>Targets!P49</f>
        <v/>
      </c>
      <c r="Q31" s="22">
        <f>Targets!Q49</f>
        <v/>
      </c>
      <c r="R31" s="22">
        <f>Targets!R49</f>
        <v/>
      </c>
      <c r="S31" s="22">
        <f>Targets!S49</f>
        <v/>
      </c>
      <c r="T31" s="22">
        <f>Targets!T49</f>
        <v/>
      </c>
      <c r="U31" s="22">
        <f>Targets!U49</f>
        <v/>
      </c>
      <c r="V31" s="22">
        <f>Targets!V49</f>
        <v/>
      </c>
      <c r="W31" s="22">
        <f>Targets!W49</f>
        <v/>
      </c>
      <c r="X31" s="22">
        <f>Targets!X49</f>
        <v/>
      </c>
      <c r="Y31" s="22">
        <f>Targets!Y49</f>
        <v/>
      </c>
      <c r="Z31" s="22">
        <f>Targets!Z49</f>
        <v/>
      </c>
      <c r="AA31" s="22">
        <f>Targets!AA49</f>
        <v/>
      </c>
      <c r="AB31" s="22">
        <f>Targets!AB49</f>
        <v/>
      </c>
      <c r="AC31" s="22">
        <f>Targets!AC49</f>
        <v/>
      </c>
      <c r="AD31" s="22">
        <f>Targets!AD49</f>
        <v/>
      </c>
      <c r="AE31" s="22">
        <f>Targets!AE49</f>
        <v/>
      </c>
      <c r="AF31" s="22">
        <f>Targets!AF49</f>
        <v/>
      </c>
      <c r="AG31" s="22">
        <f>Targets!AG49</f>
        <v/>
      </c>
      <c r="AH31" s="22">
        <f>Targets!AH49</f>
        <v/>
      </c>
      <c r="AI31" s="22">
        <f>Targets!AI49</f>
        <v/>
      </c>
      <c r="AJ31" s="22">
        <f>Targets!AJ49</f>
        <v/>
      </c>
      <c r="AK31" s="22">
        <f>Targets!AK49</f>
        <v/>
      </c>
      <c r="AL31" s="22">
        <f>Targets!AL49</f>
        <v/>
      </c>
      <c r="AM31" s="22">
        <f>Targets!AM49</f>
        <v/>
      </c>
      <c r="AN31" s="22">
        <f>Targets!AN49</f>
        <v/>
      </c>
      <c r="AO31" s="22">
        <f>Targets!AO49</f>
        <v/>
      </c>
      <c r="AP31" s="22">
        <f>Targets!AP49</f>
        <v/>
      </c>
      <c r="AQ31" s="22">
        <f>Targets!AQ49</f>
        <v/>
      </c>
      <c r="AR31" s="22">
        <f>Targets!AR49</f>
        <v/>
      </c>
      <c r="AS31" s="22">
        <f>Targets!AS49</f>
        <v/>
      </c>
      <c r="AT31" s="22">
        <f>Targets!AT49</f>
        <v/>
      </c>
      <c r="AU31" s="22">
        <f>Targets!AU49</f>
        <v/>
      </c>
      <c r="AV31" s="22">
        <f>Targets!AV49</f>
        <v/>
      </c>
      <c r="AW31" s="22">
        <f>Targets!AW49</f>
        <v/>
      </c>
      <c r="AX31" s="22">
        <f>Targets!AX49</f>
        <v/>
      </c>
    </row>
    <row r="32">
      <c r="A32" t="inlineStr">
        <is>
          <t>India loaded cost adds — Actual</t>
        </is>
      </c>
      <c r="B32" s="5" t="inlineStr">
        <is>
          <t>$K · org input</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row>
    <row r="33">
      <c r="A33" t="inlineStr">
        <is>
          <t>One-time transition costs (memo — never net)</t>
        </is>
      </c>
      <c r="B33" s="5" t="inlineStr">
        <is>
          <t>$K · org input</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row>
    <row r="34">
      <c r="A34" s="11" t="inlineStr">
        <is>
          <t>D.  NET LABOR ARBITRAGE  (B − C)</t>
        </is>
      </c>
      <c r="B34" s="16" t="inlineStr"/>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row>
    <row r="35">
      <c r="A35" t="inlineStr">
        <is>
          <t>Net labor arbitrage — Target</t>
        </is>
      </c>
      <c r="B35" s="5" t="inlineStr">
        <is>
          <t>$K · linked</t>
        </is>
      </c>
      <c r="C35" s="22">
        <f>Targets!C50</f>
        <v/>
      </c>
      <c r="D35" s="22">
        <f>Targets!D50</f>
        <v/>
      </c>
      <c r="E35" s="22">
        <f>Targets!E50</f>
        <v/>
      </c>
      <c r="F35" s="22">
        <f>Targets!F50</f>
        <v/>
      </c>
      <c r="G35" s="22">
        <f>Targets!G50</f>
        <v/>
      </c>
      <c r="H35" s="22">
        <f>Targets!H50</f>
        <v/>
      </c>
      <c r="I35" s="22">
        <f>Targets!I50</f>
        <v/>
      </c>
      <c r="J35" s="22">
        <f>Targets!J50</f>
        <v/>
      </c>
      <c r="K35" s="22">
        <f>Targets!K50</f>
        <v/>
      </c>
      <c r="L35" s="22">
        <f>Targets!L50</f>
        <v/>
      </c>
      <c r="M35" s="22">
        <f>Targets!M50</f>
        <v/>
      </c>
      <c r="N35" s="22">
        <f>Targets!N50</f>
        <v/>
      </c>
      <c r="O35" s="22">
        <f>Targets!O50</f>
        <v/>
      </c>
      <c r="P35" s="22">
        <f>Targets!P50</f>
        <v/>
      </c>
      <c r="Q35" s="22">
        <f>Targets!Q50</f>
        <v/>
      </c>
      <c r="R35" s="22">
        <f>Targets!R50</f>
        <v/>
      </c>
      <c r="S35" s="22">
        <f>Targets!S50</f>
        <v/>
      </c>
      <c r="T35" s="22">
        <f>Targets!T50</f>
        <v/>
      </c>
      <c r="U35" s="22">
        <f>Targets!U50</f>
        <v/>
      </c>
      <c r="V35" s="22">
        <f>Targets!V50</f>
        <v/>
      </c>
      <c r="W35" s="22">
        <f>Targets!W50</f>
        <v/>
      </c>
      <c r="X35" s="22">
        <f>Targets!X50</f>
        <v/>
      </c>
      <c r="Y35" s="22">
        <f>Targets!Y50</f>
        <v/>
      </c>
      <c r="Z35" s="22">
        <f>Targets!Z50</f>
        <v/>
      </c>
      <c r="AA35" s="22">
        <f>Targets!AA50</f>
        <v/>
      </c>
      <c r="AB35" s="22">
        <f>Targets!AB50</f>
        <v/>
      </c>
      <c r="AC35" s="22">
        <f>Targets!AC50</f>
        <v/>
      </c>
      <c r="AD35" s="22">
        <f>Targets!AD50</f>
        <v/>
      </c>
      <c r="AE35" s="22">
        <f>Targets!AE50</f>
        <v/>
      </c>
      <c r="AF35" s="22">
        <f>Targets!AF50</f>
        <v/>
      </c>
      <c r="AG35" s="22">
        <f>Targets!AG50</f>
        <v/>
      </c>
      <c r="AH35" s="22">
        <f>Targets!AH50</f>
        <v/>
      </c>
      <c r="AI35" s="22">
        <f>Targets!AI50</f>
        <v/>
      </c>
      <c r="AJ35" s="22">
        <f>Targets!AJ50</f>
        <v/>
      </c>
      <c r="AK35" s="22">
        <f>Targets!AK50</f>
        <v/>
      </c>
      <c r="AL35" s="22">
        <f>Targets!AL50</f>
        <v/>
      </c>
      <c r="AM35" s="22">
        <f>Targets!AM50</f>
        <v/>
      </c>
      <c r="AN35" s="22">
        <f>Targets!AN50</f>
        <v/>
      </c>
      <c r="AO35" s="22">
        <f>Targets!AO50</f>
        <v/>
      </c>
      <c r="AP35" s="22">
        <f>Targets!AP50</f>
        <v/>
      </c>
      <c r="AQ35" s="22">
        <f>Targets!AQ50</f>
        <v/>
      </c>
      <c r="AR35" s="22">
        <f>Targets!AR50</f>
        <v/>
      </c>
      <c r="AS35" s="22">
        <f>Targets!AS50</f>
        <v/>
      </c>
      <c r="AT35" s="22">
        <f>Targets!AT50</f>
        <v/>
      </c>
      <c r="AU35" s="22">
        <f>Targets!AU50</f>
        <v/>
      </c>
      <c r="AV35" s="22">
        <f>Targets!AV50</f>
        <v/>
      </c>
      <c r="AW35" s="22">
        <f>Targets!AW50</f>
        <v/>
      </c>
      <c r="AX35" s="22">
        <f>Targets!AX50</f>
        <v/>
      </c>
    </row>
    <row r="36">
      <c r="A36" t="inlineStr">
        <is>
          <t>Net labor arbitrage — Actual</t>
        </is>
      </c>
      <c r="B36" s="5" t="inlineStr">
        <is>
          <t>$K · auto</t>
        </is>
      </c>
      <c r="C36" s="15">
        <f>C26-C32</f>
        <v/>
      </c>
      <c r="D36" s="15">
        <f>D26-D32</f>
        <v/>
      </c>
      <c r="E36" s="15">
        <f>E26-E32</f>
        <v/>
      </c>
      <c r="F36" s="15">
        <f>F26-F32</f>
        <v/>
      </c>
      <c r="G36" s="15">
        <f>G26-G32</f>
        <v/>
      </c>
      <c r="H36" s="15">
        <f>H26-H32</f>
        <v/>
      </c>
      <c r="I36" s="15">
        <f>I26-I32</f>
        <v/>
      </c>
      <c r="J36" s="15">
        <f>J26-J32</f>
        <v/>
      </c>
      <c r="K36" s="15">
        <f>K26-K32</f>
        <v/>
      </c>
      <c r="L36" s="15">
        <f>L26-L32</f>
        <v/>
      </c>
      <c r="M36" s="15">
        <f>M26-M32</f>
        <v/>
      </c>
      <c r="N36" s="15">
        <f>N26-N32</f>
        <v/>
      </c>
      <c r="O36" s="15">
        <f>O26-O32</f>
        <v/>
      </c>
      <c r="P36" s="15">
        <f>P26-P32</f>
        <v/>
      </c>
      <c r="Q36" s="15">
        <f>Q26-Q32</f>
        <v/>
      </c>
      <c r="R36" s="15">
        <f>R26-R32</f>
        <v/>
      </c>
      <c r="S36" s="15">
        <f>S26-S32</f>
        <v/>
      </c>
      <c r="T36" s="15">
        <f>T26-T32</f>
        <v/>
      </c>
      <c r="U36" s="15">
        <f>U26-U32</f>
        <v/>
      </c>
      <c r="V36" s="15">
        <f>V26-V32</f>
        <v/>
      </c>
      <c r="W36" s="15">
        <f>W26-W32</f>
        <v/>
      </c>
      <c r="X36" s="15">
        <f>X26-X32</f>
        <v/>
      </c>
      <c r="Y36" s="15">
        <f>Y26-Y32</f>
        <v/>
      </c>
      <c r="Z36" s="15">
        <f>Z26-Z32</f>
        <v/>
      </c>
      <c r="AA36" s="15">
        <f>AA26-AA32</f>
        <v/>
      </c>
      <c r="AB36" s="15">
        <f>AB26-AB32</f>
        <v/>
      </c>
      <c r="AC36" s="15">
        <f>AC26-AC32</f>
        <v/>
      </c>
      <c r="AD36" s="15">
        <f>AD26-AD32</f>
        <v/>
      </c>
      <c r="AE36" s="15">
        <f>AE26-AE32</f>
        <v/>
      </c>
      <c r="AF36" s="15">
        <f>AF26-AF32</f>
        <v/>
      </c>
      <c r="AG36" s="15">
        <f>AG26-AG32</f>
        <v/>
      </c>
      <c r="AH36" s="15">
        <f>AH26-AH32</f>
        <v/>
      </c>
      <c r="AI36" s="15">
        <f>AI26-AI32</f>
        <v/>
      </c>
      <c r="AJ36" s="15">
        <f>AJ26-AJ32</f>
        <v/>
      </c>
      <c r="AK36" s="15">
        <f>AK26-AK32</f>
        <v/>
      </c>
      <c r="AL36" s="15">
        <f>AL26-AL32</f>
        <v/>
      </c>
      <c r="AM36" s="15">
        <f>AM26-AM32</f>
        <v/>
      </c>
      <c r="AN36" s="15">
        <f>AN26-AN32</f>
        <v/>
      </c>
      <c r="AO36" s="15">
        <f>AO26-AO32</f>
        <v/>
      </c>
      <c r="AP36" s="15">
        <f>AP26-AP32</f>
        <v/>
      </c>
      <c r="AQ36" s="15">
        <f>AQ26-AQ32</f>
        <v/>
      </c>
      <c r="AR36" s="15">
        <f>AR26-AR32</f>
        <v/>
      </c>
      <c r="AS36" s="15">
        <f>AS26-AS32</f>
        <v/>
      </c>
      <c r="AT36" s="15">
        <f>AT26-AT32</f>
        <v/>
      </c>
      <c r="AU36" s="15">
        <f>AU26-AU32</f>
        <v/>
      </c>
      <c r="AV36" s="15">
        <f>AV26-AV32</f>
        <v/>
      </c>
      <c r="AW36" s="15">
        <f>AW26-AW32</f>
        <v/>
      </c>
      <c r="AX36" s="15">
        <f>AX26-AX32</f>
        <v/>
      </c>
    </row>
    <row r="37">
      <c r="A37" t="inlineStr">
        <is>
          <t>Net variance (Actual − Target)</t>
        </is>
      </c>
      <c r="B37" s="5" t="inlineStr">
        <is>
          <t>$K · auto</t>
        </is>
      </c>
      <c r="C37" s="15">
        <f>C36-C35</f>
        <v/>
      </c>
      <c r="D37" s="15">
        <f>D36-D35</f>
        <v/>
      </c>
      <c r="E37" s="15">
        <f>E36-E35</f>
        <v/>
      </c>
      <c r="F37" s="15">
        <f>F36-F35</f>
        <v/>
      </c>
      <c r="G37" s="15">
        <f>G36-G35</f>
        <v/>
      </c>
      <c r="H37" s="15">
        <f>H36-H35</f>
        <v/>
      </c>
      <c r="I37" s="15">
        <f>I36-I35</f>
        <v/>
      </c>
      <c r="J37" s="15">
        <f>J36-J35</f>
        <v/>
      </c>
      <c r="K37" s="15">
        <f>K36-K35</f>
        <v/>
      </c>
      <c r="L37" s="15">
        <f>L36-L35</f>
        <v/>
      </c>
      <c r="M37" s="15">
        <f>M36-M35</f>
        <v/>
      </c>
      <c r="N37" s="15">
        <f>N36-N35</f>
        <v/>
      </c>
      <c r="O37" s="15">
        <f>O36-O35</f>
        <v/>
      </c>
      <c r="P37" s="15">
        <f>P36-P35</f>
        <v/>
      </c>
      <c r="Q37" s="15">
        <f>Q36-Q35</f>
        <v/>
      </c>
      <c r="R37" s="15">
        <f>R36-R35</f>
        <v/>
      </c>
      <c r="S37" s="15">
        <f>S36-S35</f>
        <v/>
      </c>
      <c r="T37" s="15">
        <f>T36-T35</f>
        <v/>
      </c>
      <c r="U37" s="15">
        <f>U36-U35</f>
        <v/>
      </c>
      <c r="V37" s="15">
        <f>V36-V35</f>
        <v/>
      </c>
      <c r="W37" s="15">
        <f>W36-W35</f>
        <v/>
      </c>
      <c r="X37" s="15">
        <f>X36-X35</f>
        <v/>
      </c>
      <c r="Y37" s="15">
        <f>Y36-Y35</f>
        <v/>
      </c>
      <c r="Z37" s="15">
        <f>Z36-Z35</f>
        <v/>
      </c>
      <c r="AA37" s="15">
        <f>AA36-AA35</f>
        <v/>
      </c>
      <c r="AB37" s="15">
        <f>AB36-AB35</f>
        <v/>
      </c>
      <c r="AC37" s="15">
        <f>AC36-AC35</f>
        <v/>
      </c>
      <c r="AD37" s="15">
        <f>AD36-AD35</f>
        <v/>
      </c>
      <c r="AE37" s="15">
        <f>AE36-AE35</f>
        <v/>
      </c>
      <c r="AF37" s="15">
        <f>AF36-AF35</f>
        <v/>
      </c>
      <c r="AG37" s="15">
        <f>AG36-AG35</f>
        <v/>
      </c>
      <c r="AH37" s="15">
        <f>AH36-AH35</f>
        <v/>
      </c>
      <c r="AI37" s="15">
        <f>AI36-AI35</f>
        <v/>
      </c>
      <c r="AJ37" s="15">
        <f>AJ36-AJ35</f>
        <v/>
      </c>
      <c r="AK37" s="15">
        <f>AK36-AK35</f>
        <v/>
      </c>
      <c r="AL37" s="15">
        <f>AL36-AL35</f>
        <v/>
      </c>
      <c r="AM37" s="15">
        <f>AM36-AM35</f>
        <v/>
      </c>
      <c r="AN37" s="15">
        <f>AN36-AN35</f>
        <v/>
      </c>
      <c r="AO37" s="15">
        <f>AO36-AO35</f>
        <v/>
      </c>
      <c r="AP37" s="15">
        <f>AP36-AP35</f>
        <v/>
      </c>
      <c r="AQ37" s="15">
        <f>AQ36-AQ35</f>
        <v/>
      </c>
      <c r="AR37" s="15">
        <f>AR36-AR35</f>
        <v/>
      </c>
      <c r="AS37" s="15">
        <f>AS36-AS35</f>
        <v/>
      </c>
      <c r="AT37" s="15">
        <f>AT36-AT35</f>
        <v/>
      </c>
      <c r="AU37" s="15">
        <f>AU36-AU35</f>
        <v/>
      </c>
      <c r="AV37" s="15">
        <f>AV36-AV35</f>
        <v/>
      </c>
      <c r="AW37" s="15">
        <f>AW36-AW35</f>
        <v/>
      </c>
      <c r="AX37" s="15">
        <f>AX36-AX35</f>
        <v/>
      </c>
    </row>
    <row r="38">
      <c r="A38" t="inlineStr">
        <is>
          <t>Cumulative net arbitrage — Target</t>
        </is>
      </c>
      <c r="B38" s="5" t="inlineStr">
        <is>
          <t>$K · auto</t>
        </is>
      </c>
      <c r="C38" s="15">
        <f>SUM($C35:C35)</f>
        <v/>
      </c>
      <c r="D38" s="15">
        <f>SUM($C35:D35)</f>
        <v/>
      </c>
      <c r="E38" s="15">
        <f>SUM($C35:E35)</f>
        <v/>
      </c>
      <c r="F38" s="15">
        <f>SUM($C35:F35)</f>
        <v/>
      </c>
      <c r="G38" s="15">
        <f>SUM($C35:G35)</f>
        <v/>
      </c>
      <c r="H38" s="15">
        <f>SUM($C35:H35)</f>
        <v/>
      </c>
      <c r="I38" s="15">
        <f>SUM($C35:I35)</f>
        <v/>
      </c>
      <c r="J38" s="15">
        <f>SUM($C35:J35)</f>
        <v/>
      </c>
      <c r="K38" s="15">
        <f>SUM($C35:K35)</f>
        <v/>
      </c>
      <c r="L38" s="15">
        <f>SUM($C35:L35)</f>
        <v/>
      </c>
      <c r="M38" s="15">
        <f>SUM($C35:M35)</f>
        <v/>
      </c>
      <c r="N38" s="15">
        <f>SUM($C35:N35)</f>
        <v/>
      </c>
      <c r="O38" s="15">
        <f>SUM($C35:O35)</f>
        <v/>
      </c>
      <c r="P38" s="15">
        <f>SUM($C35:P35)</f>
        <v/>
      </c>
      <c r="Q38" s="15">
        <f>SUM($C35:Q35)</f>
        <v/>
      </c>
      <c r="R38" s="15">
        <f>SUM($C35:R35)</f>
        <v/>
      </c>
      <c r="S38" s="15">
        <f>SUM($C35:S35)</f>
        <v/>
      </c>
      <c r="T38" s="15">
        <f>SUM($C35:T35)</f>
        <v/>
      </c>
      <c r="U38" s="15">
        <f>SUM($C35:U35)</f>
        <v/>
      </c>
      <c r="V38" s="15">
        <f>SUM($C35:V35)</f>
        <v/>
      </c>
      <c r="W38" s="15">
        <f>SUM($C35:W35)</f>
        <v/>
      </c>
      <c r="X38" s="15">
        <f>SUM($C35:X35)</f>
        <v/>
      </c>
      <c r="Y38" s="15">
        <f>SUM($C35:Y35)</f>
        <v/>
      </c>
      <c r="Z38" s="15">
        <f>SUM($C35:Z35)</f>
        <v/>
      </c>
      <c r="AA38" s="15">
        <f>SUM($C35:AA35)</f>
        <v/>
      </c>
      <c r="AB38" s="15">
        <f>SUM($C35:AB35)</f>
        <v/>
      </c>
      <c r="AC38" s="15">
        <f>SUM($C35:AC35)</f>
        <v/>
      </c>
      <c r="AD38" s="15">
        <f>SUM($C35:AD35)</f>
        <v/>
      </c>
      <c r="AE38" s="15">
        <f>SUM($C35:AE35)</f>
        <v/>
      </c>
      <c r="AF38" s="15">
        <f>SUM($C35:AF35)</f>
        <v/>
      </c>
      <c r="AG38" s="15">
        <f>SUM($C35:AG35)</f>
        <v/>
      </c>
      <c r="AH38" s="15">
        <f>SUM($C35:AH35)</f>
        <v/>
      </c>
      <c r="AI38" s="15">
        <f>SUM($C35:AI35)</f>
        <v/>
      </c>
      <c r="AJ38" s="15">
        <f>SUM($C35:AJ35)</f>
        <v/>
      </c>
      <c r="AK38" s="15">
        <f>SUM($C35:AK35)</f>
        <v/>
      </c>
      <c r="AL38" s="15">
        <f>SUM($C35:AL35)</f>
        <v/>
      </c>
      <c r="AM38" s="15">
        <f>SUM($C35:AM35)</f>
        <v/>
      </c>
      <c r="AN38" s="15">
        <f>SUM($C35:AN35)</f>
        <v/>
      </c>
      <c r="AO38" s="15">
        <f>SUM($C35:AO35)</f>
        <v/>
      </c>
      <c r="AP38" s="15">
        <f>SUM($C35:AP35)</f>
        <v/>
      </c>
      <c r="AQ38" s="15">
        <f>SUM($C35:AQ35)</f>
        <v/>
      </c>
      <c r="AR38" s="15">
        <f>SUM($C35:AR35)</f>
        <v/>
      </c>
      <c r="AS38" s="15">
        <f>SUM($C35:AS35)</f>
        <v/>
      </c>
      <c r="AT38" s="15">
        <f>SUM($C35:AT35)</f>
        <v/>
      </c>
      <c r="AU38" s="15">
        <f>SUM($C35:AU35)</f>
        <v/>
      </c>
      <c r="AV38" s="15">
        <f>SUM($C35:AV35)</f>
        <v/>
      </c>
      <c r="AW38" s="15">
        <f>SUM($C35:AW35)</f>
        <v/>
      </c>
      <c r="AX38" s="15">
        <f>SUM($C35:AX35)</f>
        <v/>
      </c>
    </row>
    <row r="39">
      <c r="A39" t="inlineStr">
        <is>
          <t>Cumulative net arbitrage — Actual</t>
        </is>
      </c>
      <c r="B39" s="5" t="inlineStr">
        <is>
          <t>$K · auto</t>
        </is>
      </c>
      <c r="C39" s="15">
        <f>SUM($C36:C36)</f>
        <v/>
      </c>
      <c r="D39" s="15">
        <f>SUM($C36:D36)</f>
        <v/>
      </c>
      <c r="E39" s="15">
        <f>SUM($C36:E36)</f>
        <v/>
      </c>
      <c r="F39" s="15">
        <f>SUM($C36:F36)</f>
        <v/>
      </c>
      <c r="G39" s="15">
        <f>SUM($C36:G36)</f>
        <v/>
      </c>
      <c r="H39" s="15">
        <f>SUM($C36:H36)</f>
        <v/>
      </c>
      <c r="I39" s="15">
        <f>SUM($C36:I36)</f>
        <v/>
      </c>
      <c r="J39" s="15">
        <f>SUM($C36:J36)</f>
        <v/>
      </c>
      <c r="K39" s="15">
        <f>SUM($C36:K36)</f>
        <v/>
      </c>
      <c r="L39" s="15">
        <f>SUM($C36:L36)</f>
        <v/>
      </c>
      <c r="M39" s="15">
        <f>SUM($C36:M36)</f>
        <v/>
      </c>
      <c r="N39" s="15">
        <f>SUM($C36:N36)</f>
        <v/>
      </c>
      <c r="O39" s="15">
        <f>SUM($C36:O36)</f>
        <v/>
      </c>
      <c r="P39" s="15">
        <f>SUM($C36:P36)</f>
        <v/>
      </c>
      <c r="Q39" s="15">
        <f>SUM($C36:Q36)</f>
        <v/>
      </c>
      <c r="R39" s="15">
        <f>SUM($C36:R36)</f>
        <v/>
      </c>
      <c r="S39" s="15">
        <f>SUM($C36:S36)</f>
        <v/>
      </c>
      <c r="T39" s="15">
        <f>SUM($C36:T36)</f>
        <v/>
      </c>
      <c r="U39" s="15">
        <f>SUM($C36:U36)</f>
        <v/>
      </c>
      <c r="V39" s="15">
        <f>SUM($C36:V36)</f>
        <v/>
      </c>
      <c r="W39" s="15">
        <f>SUM($C36:W36)</f>
        <v/>
      </c>
      <c r="X39" s="15">
        <f>SUM($C36:X36)</f>
        <v/>
      </c>
      <c r="Y39" s="15">
        <f>SUM($C36:Y36)</f>
        <v/>
      </c>
      <c r="Z39" s="15">
        <f>SUM($C36:Z36)</f>
        <v/>
      </c>
      <c r="AA39" s="15">
        <f>SUM($C36:AA36)</f>
        <v/>
      </c>
      <c r="AB39" s="15">
        <f>SUM($C36:AB36)</f>
        <v/>
      </c>
      <c r="AC39" s="15">
        <f>SUM($C36:AC36)</f>
        <v/>
      </c>
      <c r="AD39" s="15">
        <f>SUM($C36:AD36)</f>
        <v/>
      </c>
      <c r="AE39" s="15">
        <f>SUM($C36:AE36)</f>
        <v/>
      </c>
      <c r="AF39" s="15">
        <f>SUM($C36:AF36)</f>
        <v/>
      </c>
      <c r="AG39" s="15">
        <f>SUM($C36:AG36)</f>
        <v/>
      </c>
      <c r="AH39" s="15">
        <f>SUM($C36:AH36)</f>
        <v/>
      </c>
      <c r="AI39" s="15">
        <f>SUM($C36:AI36)</f>
        <v/>
      </c>
      <c r="AJ39" s="15">
        <f>SUM($C36:AJ36)</f>
        <v/>
      </c>
      <c r="AK39" s="15">
        <f>SUM($C36:AK36)</f>
        <v/>
      </c>
      <c r="AL39" s="15">
        <f>SUM($C36:AL36)</f>
        <v/>
      </c>
      <c r="AM39" s="15">
        <f>SUM($C36:AM36)</f>
        <v/>
      </c>
      <c r="AN39" s="15">
        <f>SUM($C36:AN36)</f>
        <v/>
      </c>
      <c r="AO39" s="15">
        <f>SUM($C36:AO36)</f>
        <v/>
      </c>
      <c r="AP39" s="15">
        <f>SUM($C36:AP36)</f>
        <v/>
      </c>
      <c r="AQ39" s="15">
        <f>SUM($C36:AQ36)</f>
        <v/>
      </c>
      <c r="AR39" s="15">
        <f>SUM($C36:AR36)</f>
        <v/>
      </c>
      <c r="AS39" s="15">
        <f>SUM($C36:AS36)</f>
        <v/>
      </c>
      <c r="AT39" s="15">
        <f>SUM($C36:AT36)</f>
        <v/>
      </c>
      <c r="AU39" s="15">
        <f>SUM($C36:AU36)</f>
        <v/>
      </c>
      <c r="AV39" s="15">
        <f>SUM($C36:AV36)</f>
        <v/>
      </c>
      <c r="AW39" s="15">
        <f>SUM($C36:AW36)</f>
        <v/>
      </c>
      <c r="AX39" s="15">
        <f>SUM($C36:AX36)</f>
        <v/>
      </c>
    </row>
    <row r="40">
      <c r="A40" s="11" t="inlineStr">
        <is>
          <t>E.  STATUS, ATTESTATION &amp; COMMENTARY</t>
        </is>
      </c>
      <c r="B40" s="16" t="inlineStr"/>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row>
    <row r="41">
      <c r="A41" t="inlineStr">
        <is>
          <t>Overall RAG status for month</t>
        </is>
      </c>
      <c r="B41" s="5" t="inlineStr">
        <is>
          <t>G/A/R · org input</t>
        </is>
      </c>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c r="AK41" s="26" t="n"/>
      <c r="AL41" s="26" t="n"/>
      <c r="AM41" s="26" t="n"/>
      <c r="AN41" s="26" t="n"/>
      <c r="AO41" s="26" t="n"/>
      <c r="AP41" s="26" t="n"/>
      <c r="AQ41" s="26" t="n"/>
      <c r="AR41" s="26" t="n"/>
      <c r="AS41" s="26" t="n"/>
      <c r="AT41" s="26" t="n"/>
      <c r="AU41" s="26" t="n"/>
      <c r="AV41" s="26" t="n"/>
      <c r="AW41" s="26" t="n"/>
      <c r="AX41" s="26" t="n"/>
    </row>
    <row r="42">
      <c r="A42" t="inlineStr">
        <is>
          <t>Attest: reductions free of leakage?</t>
        </is>
      </c>
      <c r="B42" s="5" t="inlineStr">
        <is>
          <t>Y/N · org input</t>
        </is>
      </c>
      <c r="C42" s="26" t="n"/>
      <c r="D42" s="26" t="n"/>
      <c r="E42" s="26"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c r="AD42" s="26" t="n"/>
      <c r="AE42" s="26" t="n"/>
      <c r="AF42" s="26" t="n"/>
      <c r="AG42" s="26" t="n"/>
      <c r="AH42" s="26" t="n"/>
      <c r="AI42" s="26" t="n"/>
      <c r="AJ42" s="26" t="n"/>
      <c r="AK42" s="26" t="n"/>
      <c r="AL42" s="26" t="n"/>
      <c r="AM42" s="26" t="n"/>
      <c r="AN42" s="26" t="n"/>
      <c r="AO42" s="26" t="n"/>
      <c r="AP42" s="26" t="n"/>
      <c r="AQ42" s="26" t="n"/>
      <c r="AR42" s="26" t="n"/>
      <c r="AS42" s="26" t="n"/>
      <c r="AT42" s="26" t="n"/>
      <c r="AU42" s="26" t="n"/>
      <c r="AV42" s="26" t="n"/>
      <c r="AW42" s="26" t="n"/>
      <c r="AX42" s="26" t="n"/>
    </row>
    <row r="43">
      <c r="A43" t="inlineStr">
        <is>
          <t>Attested by (org finance partner)</t>
        </is>
      </c>
      <c r="B43" s="5" t="inlineStr">
        <is>
          <t>name · org input</t>
        </is>
      </c>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c r="AD43" s="26" t="n"/>
      <c r="AE43" s="26" t="n"/>
      <c r="AF43" s="26" t="n"/>
      <c r="AG43" s="26" t="n"/>
      <c r="AH43" s="26" t="n"/>
      <c r="AI43" s="26" t="n"/>
      <c r="AJ43" s="26" t="n"/>
      <c r="AK43" s="26" t="n"/>
      <c r="AL43" s="26" t="n"/>
      <c r="AM43" s="26" t="n"/>
      <c r="AN43" s="26" t="n"/>
      <c r="AO43" s="26" t="n"/>
      <c r="AP43" s="26" t="n"/>
      <c r="AQ43" s="26" t="n"/>
      <c r="AR43" s="26" t="n"/>
      <c r="AS43" s="26" t="n"/>
      <c r="AT43" s="26" t="n"/>
      <c r="AU43" s="26" t="n"/>
      <c r="AV43" s="26" t="n"/>
      <c r="AW43" s="26" t="n"/>
      <c r="AX43" s="26" t="n"/>
    </row>
    <row r="44">
      <c r="A44" t="inlineStr">
        <is>
          <t>Commentary (required on material variance)</t>
        </is>
      </c>
      <c r="B44" s="5" t="inlineStr">
        <is>
          <t>text · org input</t>
        </is>
      </c>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c r="AD44" s="26" t="n"/>
      <c r="AE44" s="26" t="n"/>
      <c r="AF44" s="26" t="n"/>
      <c r="AG44" s="26" t="n"/>
      <c r="AH44" s="26" t="n"/>
      <c r="AI44" s="26" t="n"/>
      <c r="AJ44" s="26" t="n"/>
      <c r="AK44" s="26" t="n"/>
      <c r="AL44" s="26" t="n"/>
      <c r="AM44" s="26" t="n"/>
      <c r="AN44" s="26" t="n"/>
      <c r="AO44" s="26" t="n"/>
      <c r="AP44" s="26" t="n"/>
      <c r="AQ44" s="26" t="n"/>
      <c r="AR44" s="26" t="n"/>
      <c r="AS44" s="26" t="n"/>
      <c r="AT44" s="26" t="n"/>
      <c r="AU44" s="26" t="n"/>
      <c r="AV44" s="26" t="n"/>
      <c r="AW44" s="26" t="n"/>
      <c r="AX44" s="26" t="n"/>
    </row>
  </sheetData>
  <dataValidations count="2">
    <dataValidation sqref="C41:AX41" showDropDown="0" showInputMessage="0" showErrorMessage="0" allowBlank="1" type="list">
      <formula1>=Setup!$B$14:$B$16</formula1>
    </dataValidation>
    <dataValidation sqref="C42:AX42" showDropDown="0" showInputMessage="0" showErrorMessage="0" allowBlank="1" type="list">
      <formula1>=Setup!$B$18:$B$19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X4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6" customWidth="1" min="1" max="1"/>
    <col width="20"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10.5" customWidth="1" min="35" max="35"/>
    <col width="10.5" customWidth="1" min="36" max="36"/>
    <col width="10.5" customWidth="1" min="37" max="37"/>
    <col width="10.5" customWidth="1" min="38" max="38"/>
    <col width="10.5" customWidth="1" min="39" max="39"/>
    <col width="10.5" customWidth="1" min="40" max="40"/>
    <col width="10.5" customWidth="1" min="41" max="41"/>
    <col width="10.5" customWidth="1" min="42" max="42"/>
    <col width="10.5" customWidth="1" min="43" max="43"/>
    <col width="10.5" customWidth="1" min="44" max="44"/>
    <col width="10.5" customWidth="1" min="45" max="45"/>
    <col width="10.5" customWidth="1" min="46" max="46"/>
    <col width="10.5" customWidth="1" min="47" max="47"/>
    <col width="10.5" customWidth="1" min="48" max="48"/>
    <col width="10.5" customWidth="1" min="49" max="49"/>
    <col width="10.5" customWidth="1" min="50" max="50"/>
  </cols>
  <sheetData>
    <row r="1">
      <c r="A1" s="4">
        <f>CONCATENATE("ORG: ",Setup!$B$9)</f>
        <v/>
      </c>
    </row>
    <row r="2">
      <c r="A2" s="5" t="inlineStr">
        <is>
          <t>Enter BLUE cells only. GREEN = central fill. GREY = linked target (do not edit). See READ ME + Guiding Principles tabs.</t>
        </is>
      </c>
    </row>
    <row r="4">
      <c r="C4" s="8" t="n">
        <v>2026</v>
      </c>
      <c r="O4" s="8" t="n">
        <v>2027</v>
      </c>
      <c r="AA4" s="8" t="n">
        <v>2028</v>
      </c>
      <c r="AM4" s="8" t="n">
        <v>2029</v>
      </c>
    </row>
    <row r="5">
      <c r="A5" s="9" t="inlineStr">
        <is>
          <t>Metric</t>
        </is>
      </c>
      <c r="B5" s="9" t="inlineStr">
        <is>
          <t>Unit / who fills</t>
        </is>
      </c>
      <c r="C5" s="10" t="n">
        <v>46023</v>
      </c>
      <c r="D5" s="10" t="n">
        <v>46054</v>
      </c>
      <c r="E5" s="10" t="n">
        <v>46082</v>
      </c>
      <c r="F5" s="10" t="n">
        <v>46113</v>
      </c>
      <c r="G5" s="10" t="n">
        <v>46143</v>
      </c>
      <c r="H5" s="10" t="n">
        <v>46174</v>
      </c>
      <c r="I5" s="10" t="n">
        <v>46204</v>
      </c>
      <c r="J5" s="10" t="n">
        <v>46235</v>
      </c>
      <c r="K5" s="10" t="n">
        <v>46266</v>
      </c>
      <c r="L5" s="10" t="n">
        <v>46296</v>
      </c>
      <c r="M5" s="10" t="n">
        <v>46327</v>
      </c>
      <c r="N5" s="10" t="n">
        <v>46357</v>
      </c>
      <c r="O5" s="10" t="n">
        <v>46388</v>
      </c>
      <c r="P5" s="10" t="n">
        <v>46419</v>
      </c>
      <c r="Q5" s="10" t="n">
        <v>46447</v>
      </c>
      <c r="R5" s="10" t="n">
        <v>46478</v>
      </c>
      <c r="S5" s="10" t="n">
        <v>46508</v>
      </c>
      <c r="T5" s="10" t="n">
        <v>46539</v>
      </c>
      <c r="U5" s="10" t="n">
        <v>46569</v>
      </c>
      <c r="V5" s="10" t="n">
        <v>46600</v>
      </c>
      <c r="W5" s="10" t="n">
        <v>46631</v>
      </c>
      <c r="X5" s="10" t="n">
        <v>46661</v>
      </c>
      <c r="Y5" s="10" t="n">
        <v>46692</v>
      </c>
      <c r="Z5" s="10" t="n">
        <v>46722</v>
      </c>
      <c r="AA5" s="10" t="n">
        <v>46753</v>
      </c>
      <c r="AB5" s="10" t="n">
        <v>46784</v>
      </c>
      <c r="AC5" s="10" t="n">
        <v>46813</v>
      </c>
      <c r="AD5" s="10" t="n">
        <v>46844</v>
      </c>
      <c r="AE5" s="10" t="n">
        <v>46874</v>
      </c>
      <c r="AF5" s="10" t="n">
        <v>46905</v>
      </c>
      <c r="AG5" s="10" t="n">
        <v>46935</v>
      </c>
      <c r="AH5" s="10" t="n">
        <v>46966</v>
      </c>
      <c r="AI5" s="10" t="n">
        <v>46997</v>
      </c>
      <c r="AJ5" s="10" t="n">
        <v>47027</v>
      </c>
      <c r="AK5" s="10" t="n">
        <v>47058</v>
      </c>
      <c r="AL5" s="10" t="n">
        <v>47088</v>
      </c>
      <c r="AM5" s="10" t="n">
        <v>47119</v>
      </c>
      <c r="AN5" s="10" t="n">
        <v>47150</v>
      </c>
      <c r="AO5" s="10" t="n">
        <v>47178</v>
      </c>
      <c r="AP5" s="10" t="n">
        <v>47209</v>
      </c>
      <c r="AQ5" s="10" t="n">
        <v>47239</v>
      </c>
      <c r="AR5" s="10" t="n">
        <v>47270</v>
      </c>
      <c r="AS5" s="10" t="n">
        <v>47300</v>
      </c>
      <c r="AT5" s="10" t="n">
        <v>47331</v>
      </c>
      <c r="AU5" s="10" t="n">
        <v>47362</v>
      </c>
      <c r="AV5" s="10" t="n">
        <v>47392</v>
      </c>
      <c r="AW5" s="10" t="n">
        <v>47423</v>
      </c>
      <c r="AX5" s="10" t="n">
        <v>47453</v>
      </c>
    </row>
    <row r="6">
      <c r="A6" s="11" t="inlineStr">
        <is>
          <t>A.  INDIA HIRING</t>
        </is>
      </c>
      <c r="B6" s="16" t="inlineStr"/>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row>
    <row r="7">
      <c r="A7" t="inlineStr">
        <is>
          <t>India hires — Target</t>
        </is>
      </c>
      <c r="B7" s="5" t="inlineStr">
        <is>
          <t>heads · linked</t>
        </is>
      </c>
      <c r="C7" s="17">
        <f>Targets!C53</f>
        <v/>
      </c>
      <c r="D7" s="17">
        <f>Targets!D53</f>
        <v/>
      </c>
      <c r="E7" s="17">
        <f>Targets!E53</f>
        <v/>
      </c>
      <c r="F7" s="17">
        <f>Targets!F53</f>
        <v/>
      </c>
      <c r="G7" s="17">
        <f>Targets!G53</f>
        <v/>
      </c>
      <c r="H7" s="17">
        <f>Targets!H53</f>
        <v/>
      </c>
      <c r="I7" s="17">
        <f>Targets!I53</f>
        <v/>
      </c>
      <c r="J7" s="17">
        <f>Targets!J53</f>
        <v/>
      </c>
      <c r="K7" s="17">
        <f>Targets!K53</f>
        <v/>
      </c>
      <c r="L7" s="17">
        <f>Targets!L53</f>
        <v/>
      </c>
      <c r="M7" s="17">
        <f>Targets!M53</f>
        <v/>
      </c>
      <c r="N7" s="17">
        <f>Targets!N53</f>
        <v/>
      </c>
      <c r="O7" s="17">
        <f>Targets!O53</f>
        <v/>
      </c>
      <c r="P7" s="17">
        <f>Targets!P53</f>
        <v/>
      </c>
      <c r="Q7" s="17">
        <f>Targets!Q53</f>
        <v/>
      </c>
      <c r="R7" s="17">
        <f>Targets!R53</f>
        <v/>
      </c>
      <c r="S7" s="17">
        <f>Targets!S53</f>
        <v/>
      </c>
      <c r="T7" s="17">
        <f>Targets!T53</f>
        <v/>
      </c>
      <c r="U7" s="17">
        <f>Targets!U53</f>
        <v/>
      </c>
      <c r="V7" s="17">
        <f>Targets!V53</f>
        <v/>
      </c>
      <c r="W7" s="17">
        <f>Targets!W53</f>
        <v/>
      </c>
      <c r="X7" s="17">
        <f>Targets!X53</f>
        <v/>
      </c>
      <c r="Y7" s="17">
        <f>Targets!Y53</f>
        <v/>
      </c>
      <c r="Z7" s="17">
        <f>Targets!Z53</f>
        <v/>
      </c>
      <c r="AA7" s="17">
        <f>Targets!AA53</f>
        <v/>
      </c>
      <c r="AB7" s="17">
        <f>Targets!AB53</f>
        <v/>
      </c>
      <c r="AC7" s="17">
        <f>Targets!AC53</f>
        <v/>
      </c>
      <c r="AD7" s="17">
        <f>Targets!AD53</f>
        <v/>
      </c>
      <c r="AE7" s="17">
        <f>Targets!AE53</f>
        <v/>
      </c>
      <c r="AF7" s="17">
        <f>Targets!AF53</f>
        <v/>
      </c>
      <c r="AG7" s="17">
        <f>Targets!AG53</f>
        <v/>
      </c>
      <c r="AH7" s="17">
        <f>Targets!AH53</f>
        <v/>
      </c>
      <c r="AI7" s="17">
        <f>Targets!AI53</f>
        <v/>
      </c>
      <c r="AJ7" s="17">
        <f>Targets!AJ53</f>
        <v/>
      </c>
      <c r="AK7" s="17">
        <f>Targets!AK53</f>
        <v/>
      </c>
      <c r="AL7" s="17">
        <f>Targets!AL53</f>
        <v/>
      </c>
      <c r="AM7" s="17">
        <f>Targets!AM53</f>
        <v/>
      </c>
      <c r="AN7" s="17">
        <f>Targets!AN53</f>
        <v/>
      </c>
      <c r="AO7" s="17">
        <f>Targets!AO53</f>
        <v/>
      </c>
      <c r="AP7" s="17">
        <f>Targets!AP53</f>
        <v/>
      </c>
      <c r="AQ7" s="17">
        <f>Targets!AQ53</f>
        <v/>
      </c>
      <c r="AR7" s="17">
        <f>Targets!AR53</f>
        <v/>
      </c>
      <c r="AS7" s="17">
        <f>Targets!AS53</f>
        <v/>
      </c>
      <c r="AT7" s="17">
        <f>Targets!AT53</f>
        <v/>
      </c>
      <c r="AU7" s="17">
        <f>Targets!AU53</f>
        <v/>
      </c>
      <c r="AV7" s="17">
        <f>Targets!AV53</f>
        <v/>
      </c>
      <c r="AW7" s="17">
        <f>Targets!AW53</f>
        <v/>
      </c>
      <c r="AX7" s="17">
        <f>Targets!AX53</f>
        <v/>
      </c>
    </row>
    <row r="8">
      <c r="A8" t="inlineStr">
        <is>
          <t>India hires — Actual</t>
        </is>
      </c>
      <c r="B8" s="5" t="inlineStr">
        <is>
          <t>heads · central (PlanIt)</t>
        </is>
      </c>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row>
    <row r="9">
      <c r="A9" t="inlineStr">
        <is>
          <t>Cumulative hires — Target</t>
        </is>
      </c>
      <c r="B9" s="5" t="inlineStr">
        <is>
          <t>heads · auto</t>
        </is>
      </c>
      <c r="C9" s="19">
        <f>SUM($C7:C7)</f>
        <v/>
      </c>
      <c r="D9" s="19">
        <f>SUM($C7:D7)</f>
        <v/>
      </c>
      <c r="E9" s="19">
        <f>SUM($C7:E7)</f>
        <v/>
      </c>
      <c r="F9" s="19">
        <f>SUM($C7:F7)</f>
        <v/>
      </c>
      <c r="G9" s="19">
        <f>SUM($C7:G7)</f>
        <v/>
      </c>
      <c r="H9" s="19">
        <f>SUM($C7:H7)</f>
        <v/>
      </c>
      <c r="I9" s="19">
        <f>SUM($C7:I7)</f>
        <v/>
      </c>
      <c r="J9" s="19">
        <f>SUM($C7:J7)</f>
        <v/>
      </c>
      <c r="K9" s="19">
        <f>SUM($C7:K7)</f>
        <v/>
      </c>
      <c r="L9" s="19">
        <f>SUM($C7:L7)</f>
        <v/>
      </c>
      <c r="M9" s="19">
        <f>SUM($C7:M7)</f>
        <v/>
      </c>
      <c r="N9" s="19">
        <f>SUM($C7:N7)</f>
        <v/>
      </c>
      <c r="O9" s="19">
        <f>SUM($C7:O7)</f>
        <v/>
      </c>
      <c r="P9" s="19">
        <f>SUM($C7:P7)</f>
        <v/>
      </c>
      <c r="Q9" s="19">
        <f>SUM($C7:Q7)</f>
        <v/>
      </c>
      <c r="R9" s="19">
        <f>SUM($C7:R7)</f>
        <v/>
      </c>
      <c r="S9" s="19">
        <f>SUM($C7:S7)</f>
        <v/>
      </c>
      <c r="T9" s="19">
        <f>SUM($C7:T7)</f>
        <v/>
      </c>
      <c r="U9" s="19">
        <f>SUM($C7:U7)</f>
        <v/>
      </c>
      <c r="V9" s="19">
        <f>SUM($C7:V7)</f>
        <v/>
      </c>
      <c r="W9" s="19">
        <f>SUM($C7:W7)</f>
        <v/>
      </c>
      <c r="X9" s="19">
        <f>SUM($C7:X7)</f>
        <v/>
      </c>
      <c r="Y9" s="19">
        <f>SUM($C7:Y7)</f>
        <v/>
      </c>
      <c r="Z9" s="19">
        <f>SUM($C7:Z7)</f>
        <v/>
      </c>
      <c r="AA9" s="19">
        <f>SUM($C7:AA7)</f>
        <v/>
      </c>
      <c r="AB9" s="19">
        <f>SUM($C7:AB7)</f>
        <v/>
      </c>
      <c r="AC9" s="19">
        <f>SUM($C7:AC7)</f>
        <v/>
      </c>
      <c r="AD9" s="19">
        <f>SUM($C7:AD7)</f>
        <v/>
      </c>
      <c r="AE9" s="19">
        <f>SUM($C7:AE7)</f>
        <v/>
      </c>
      <c r="AF9" s="19">
        <f>SUM($C7:AF7)</f>
        <v/>
      </c>
      <c r="AG9" s="19">
        <f>SUM($C7:AG7)</f>
        <v/>
      </c>
      <c r="AH9" s="19">
        <f>SUM($C7:AH7)</f>
        <v/>
      </c>
      <c r="AI9" s="19">
        <f>SUM($C7:AI7)</f>
        <v/>
      </c>
      <c r="AJ9" s="19">
        <f>SUM($C7:AJ7)</f>
        <v/>
      </c>
      <c r="AK9" s="19">
        <f>SUM($C7:AK7)</f>
        <v/>
      </c>
      <c r="AL9" s="19">
        <f>SUM($C7:AL7)</f>
        <v/>
      </c>
      <c r="AM9" s="19">
        <f>SUM($C7:AM7)</f>
        <v/>
      </c>
      <c r="AN9" s="19">
        <f>SUM($C7:AN7)</f>
        <v/>
      </c>
      <c r="AO9" s="19">
        <f>SUM($C7:AO7)</f>
        <v/>
      </c>
      <c r="AP9" s="19">
        <f>SUM($C7:AP7)</f>
        <v/>
      </c>
      <c r="AQ9" s="19">
        <f>SUM($C7:AQ7)</f>
        <v/>
      </c>
      <c r="AR9" s="19">
        <f>SUM($C7:AR7)</f>
        <v/>
      </c>
      <c r="AS9" s="19">
        <f>SUM($C7:AS7)</f>
        <v/>
      </c>
      <c r="AT9" s="19">
        <f>SUM($C7:AT7)</f>
        <v/>
      </c>
      <c r="AU9" s="19">
        <f>SUM($C7:AU7)</f>
        <v/>
      </c>
      <c r="AV9" s="19">
        <f>SUM($C7:AV7)</f>
        <v/>
      </c>
      <c r="AW9" s="19">
        <f>SUM($C7:AW7)</f>
        <v/>
      </c>
      <c r="AX9" s="19">
        <f>SUM($C7:AX7)</f>
        <v/>
      </c>
    </row>
    <row r="10">
      <c r="A10" t="inlineStr">
        <is>
          <t>Cumulative hires — Actual</t>
        </is>
      </c>
      <c r="B10" s="5" t="inlineStr">
        <is>
          <t>heads · auto</t>
        </is>
      </c>
      <c r="C10" s="19">
        <f>SUM($C8:C8)</f>
        <v/>
      </c>
      <c r="D10" s="19">
        <f>SUM($C8:D8)</f>
        <v/>
      </c>
      <c r="E10" s="19">
        <f>SUM($C8:E8)</f>
        <v/>
      </c>
      <c r="F10" s="19">
        <f>SUM($C8:F8)</f>
        <v/>
      </c>
      <c r="G10" s="19">
        <f>SUM($C8:G8)</f>
        <v/>
      </c>
      <c r="H10" s="19">
        <f>SUM($C8:H8)</f>
        <v/>
      </c>
      <c r="I10" s="19">
        <f>SUM($C8:I8)</f>
        <v/>
      </c>
      <c r="J10" s="19">
        <f>SUM($C8:J8)</f>
        <v/>
      </c>
      <c r="K10" s="19">
        <f>SUM($C8:K8)</f>
        <v/>
      </c>
      <c r="L10" s="19">
        <f>SUM($C8:L8)</f>
        <v/>
      </c>
      <c r="M10" s="19">
        <f>SUM($C8:M8)</f>
        <v/>
      </c>
      <c r="N10" s="19">
        <f>SUM($C8:N8)</f>
        <v/>
      </c>
      <c r="O10" s="19">
        <f>SUM($C8:O8)</f>
        <v/>
      </c>
      <c r="P10" s="19">
        <f>SUM($C8:P8)</f>
        <v/>
      </c>
      <c r="Q10" s="19">
        <f>SUM($C8:Q8)</f>
        <v/>
      </c>
      <c r="R10" s="19">
        <f>SUM($C8:R8)</f>
        <v/>
      </c>
      <c r="S10" s="19">
        <f>SUM($C8:S8)</f>
        <v/>
      </c>
      <c r="T10" s="19">
        <f>SUM($C8:T8)</f>
        <v/>
      </c>
      <c r="U10" s="19">
        <f>SUM($C8:U8)</f>
        <v/>
      </c>
      <c r="V10" s="19">
        <f>SUM($C8:V8)</f>
        <v/>
      </c>
      <c r="W10" s="19">
        <f>SUM($C8:W8)</f>
        <v/>
      </c>
      <c r="X10" s="19">
        <f>SUM($C8:X8)</f>
        <v/>
      </c>
      <c r="Y10" s="19">
        <f>SUM($C8:Y8)</f>
        <v/>
      </c>
      <c r="Z10" s="19">
        <f>SUM($C8:Z8)</f>
        <v/>
      </c>
      <c r="AA10" s="19">
        <f>SUM($C8:AA8)</f>
        <v/>
      </c>
      <c r="AB10" s="19">
        <f>SUM($C8:AB8)</f>
        <v/>
      </c>
      <c r="AC10" s="19">
        <f>SUM($C8:AC8)</f>
        <v/>
      </c>
      <c r="AD10" s="19">
        <f>SUM($C8:AD8)</f>
        <v/>
      </c>
      <c r="AE10" s="19">
        <f>SUM($C8:AE8)</f>
        <v/>
      </c>
      <c r="AF10" s="19">
        <f>SUM($C8:AF8)</f>
        <v/>
      </c>
      <c r="AG10" s="19">
        <f>SUM($C8:AG8)</f>
        <v/>
      </c>
      <c r="AH10" s="19">
        <f>SUM($C8:AH8)</f>
        <v/>
      </c>
      <c r="AI10" s="19">
        <f>SUM($C8:AI8)</f>
        <v/>
      </c>
      <c r="AJ10" s="19">
        <f>SUM($C8:AJ8)</f>
        <v/>
      </c>
      <c r="AK10" s="19">
        <f>SUM($C8:AK8)</f>
        <v/>
      </c>
      <c r="AL10" s="19">
        <f>SUM($C8:AL8)</f>
        <v/>
      </c>
      <c r="AM10" s="19">
        <f>SUM($C8:AM8)</f>
        <v/>
      </c>
      <c r="AN10" s="19">
        <f>SUM($C8:AN8)</f>
        <v/>
      </c>
      <c r="AO10" s="19">
        <f>SUM($C8:AO8)</f>
        <v/>
      </c>
      <c r="AP10" s="19">
        <f>SUM($C8:AP8)</f>
        <v/>
      </c>
      <c r="AQ10" s="19">
        <f>SUM($C8:AQ8)</f>
        <v/>
      </c>
      <c r="AR10" s="19">
        <f>SUM($C8:AR8)</f>
        <v/>
      </c>
      <c r="AS10" s="19">
        <f>SUM($C8:AS8)</f>
        <v/>
      </c>
      <c r="AT10" s="19">
        <f>SUM($C8:AT8)</f>
        <v/>
      </c>
      <c r="AU10" s="19">
        <f>SUM($C8:AU8)</f>
        <v/>
      </c>
      <c r="AV10" s="19">
        <f>SUM($C8:AV8)</f>
        <v/>
      </c>
      <c r="AW10" s="19">
        <f>SUM($C8:AW8)</f>
        <v/>
      </c>
      <c r="AX10" s="19">
        <f>SUM($C8:AX8)</f>
        <v/>
      </c>
    </row>
    <row r="11">
      <c r="A11" t="inlineStr">
        <is>
          <t>Hires variance (Actual − Target), cumulative</t>
        </is>
      </c>
      <c r="B11" s="5" t="inlineStr">
        <is>
          <t>heads · auto</t>
        </is>
      </c>
      <c r="C11" s="19">
        <f>C10-C9</f>
        <v/>
      </c>
      <c r="D11" s="19">
        <f>D10-D9</f>
        <v/>
      </c>
      <c r="E11" s="19">
        <f>E10-E9</f>
        <v/>
      </c>
      <c r="F11" s="19">
        <f>F10-F9</f>
        <v/>
      </c>
      <c r="G11" s="19">
        <f>G10-G9</f>
        <v/>
      </c>
      <c r="H11" s="19">
        <f>H10-H9</f>
        <v/>
      </c>
      <c r="I11" s="19">
        <f>I10-I9</f>
        <v/>
      </c>
      <c r="J11" s="19">
        <f>J10-J9</f>
        <v/>
      </c>
      <c r="K11" s="19">
        <f>K10-K9</f>
        <v/>
      </c>
      <c r="L11" s="19">
        <f>L10-L9</f>
        <v/>
      </c>
      <c r="M11" s="19">
        <f>M10-M9</f>
        <v/>
      </c>
      <c r="N11" s="19">
        <f>N10-N9</f>
        <v/>
      </c>
      <c r="O11" s="19">
        <f>O10-O9</f>
        <v/>
      </c>
      <c r="P11" s="19">
        <f>P10-P9</f>
        <v/>
      </c>
      <c r="Q11" s="19">
        <f>Q10-Q9</f>
        <v/>
      </c>
      <c r="R11" s="19">
        <f>R10-R9</f>
        <v/>
      </c>
      <c r="S11" s="19">
        <f>S10-S9</f>
        <v/>
      </c>
      <c r="T11" s="19">
        <f>T10-T9</f>
        <v/>
      </c>
      <c r="U11" s="19">
        <f>U10-U9</f>
        <v/>
      </c>
      <c r="V11" s="19">
        <f>V10-V9</f>
        <v/>
      </c>
      <c r="W11" s="19">
        <f>W10-W9</f>
        <v/>
      </c>
      <c r="X11" s="19">
        <f>X10-X9</f>
        <v/>
      </c>
      <c r="Y11" s="19">
        <f>Y10-Y9</f>
        <v/>
      </c>
      <c r="Z11" s="19">
        <f>Z10-Z9</f>
        <v/>
      </c>
      <c r="AA11" s="19">
        <f>AA10-AA9</f>
        <v/>
      </c>
      <c r="AB11" s="19">
        <f>AB10-AB9</f>
        <v/>
      </c>
      <c r="AC11" s="19">
        <f>AC10-AC9</f>
        <v/>
      </c>
      <c r="AD11" s="19">
        <f>AD10-AD9</f>
        <v/>
      </c>
      <c r="AE11" s="19">
        <f>AE10-AE9</f>
        <v/>
      </c>
      <c r="AF11" s="19">
        <f>AF10-AF9</f>
        <v/>
      </c>
      <c r="AG11" s="19">
        <f>AG10-AG9</f>
        <v/>
      </c>
      <c r="AH11" s="19">
        <f>AH10-AH9</f>
        <v/>
      </c>
      <c r="AI11" s="19">
        <f>AI10-AI9</f>
        <v/>
      </c>
      <c r="AJ11" s="19">
        <f>AJ10-AJ9</f>
        <v/>
      </c>
      <c r="AK11" s="19">
        <f>AK10-AK9</f>
        <v/>
      </c>
      <c r="AL11" s="19">
        <f>AL10-AL9</f>
        <v/>
      </c>
      <c r="AM11" s="19">
        <f>AM10-AM9</f>
        <v/>
      </c>
      <c r="AN11" s="19">
        <f>AN10-AN9</f>
        <v/>
      </c>
      <c r="AO11" s="19">
        <f>AO10-AO9</f>
        <v/>
      </c>
      <c r="AP11" s="19">
        <f>AP10-AP9</f>
        <v/>
      </c>
      <c r="AQ11" s="19">
        <f>AQ10-AQ9</f>
        <v/>
      </c>
      <c r="AR11" s="19">
        <f>AR10-AR9</f>
        <v/>
      </c>
      <c r="AS11" s="19">
        <f>AS10-AS9</f>
        <v/>
      </c>
      <c r="AT11" s="19">
        <f>AT10-AT9</f>
        <v/>
      </c>
      <c r="AU11" s="19">
        <f>AU10-AU9</f>
        <v/>
      </c>
      <c r="AV11" s="19">
        <f>AV10-AV9</f>
        <v/>
      </c>
      <c r="AW11" s="19">
        <f>AW10-AW9</f>
        <v/>
      </c>
      <c r="AX11" s="19">
        <f>AX10-AX9</f>
        <v/>
      </c>
    </row>
    <row r="12">
      <c r="A12" t="inlineStr">
        <is>
          <t>Avg India loaded comp — Plan</t>
        </is>
      </c>
      <c r="B12" s="5" t="inlineStr">
        <is>
          <t>$K/yr · central (PlanIt)</t>
        </is>
      </c>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20" t="n"/>
      <c r="AD12" s="20" t="n"/>
      <c r="AE12" s="20" t="n"/>
      <c r="AF12" s="20" t="n"/>
      <c r="AG12" s="20" t="n"/>
      <c r="AH12" s="20" t="n"/>
      <c r="AI12" s="20" t="n"/>
      <c r="AJ12" s="20" t="n"/>
      <c r="AK12" s="20" t="n"/>
      <c r="AL12" s="20" t="n"/>
      <c r="AM12" s="20" t="n"/>
      <c r="AN12" s="20" t="n"/>
      <c r="AO12" s="20" t="n"/>
      <c r="AP12" s="20" t="n"/>
      <c r="AQ12" s="20" t="n"/>
      <c r="AR12" s="20" t="n"/>
      <c r="AS12" s="20" t="n"/>
      <c r="AT12" s="20" t="n"/>
      <c r="AU12" s="20" t="n"/>
      <c r="AV12" s="20" t="n"/>
      <c r="AW12" s="20" t="n"/>
      <c r="AX12" s="20" t="n"/>
    </row>
    <row r="13">
      <c r="A13" t="inlineStr">
        <is>
          <t>Avg India loaded comp — Actual</t>
        </is>
      </c>
      <c r="B13" s="5" t="inlineStr">
        <is>
          <t>$K/yr · central (PlanIt)</t>
        </is>
      </c>
      <c r="C13" s="20"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c r="AA13" s="20" t="n"/>
      <c r="AB13" s="20" t="n"/>
      <c r="AC13" s="20" t="n"/>
      <c r="AD13" s="20" t="n"/>
      <c r="AE13" s="20" t="n"/>
      <c r="AF13" s="20" t="n"/>
      <c r="AG13" s="20" t="n"/>
      <c r="AH13" s="20" t="n"/>
      <c r="AI13" s="20" t="n"/>
      <c r="AJ13" s="20" t="n"/>
      <c r="AK13" s="20" t="n"/>
      <c r="AL13" s="20" t="n"/>
      <c r="AM13" s="20" t="n"/>
      <c r="AN13" s="20" t="n"/>
      <c r="AO13" s="20" t="n"/>
      <c r="AP13" s="20" t="n"/>
      <c r="AQ13" s="20" t="n"/>
      <c r="AR13" s="20" t="n"/>
      <c r="AS13" s="20" t="n"/>
      <c r="AT13" s="20" t="n"/>
      <c r="AU13" s="20" t="n"/>
      <c r="AV13" s="20" t="n"/>
      <c r="AW13" s="20" t="n"/>
      <c r="AX13" s="20" t="n"/>
    </row>
    <row r="14">
      <c r="A14" t="inlineStr">
        <is>
          <t>India attrition in month</t>
        </is>
      </c>
      <c r="B14" s="5" t="inlineStr">
        <is>
          <t>heads · central (HR)</t>
        </is>
      </c>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c r="AA14" s="18" t="n"/>
      <c r="AB14" s="18" t="n"/>
      <c r="AC14" s="18" t="n"/>
      <c r="AD14" s="18" t="n"/>
      <c r="AE14" s="18" t="n"/>
      <c r="AF14" s="18" t="n"/>
      <c r="AG14" s="18" t="n"/>
      <c r="AH14" s="18" t="n"/>
      <c r="AI14" s="18" t="n"/>
      <c r="AJ14" s="18" t="n"/>
      <c r="AK14" s="18" t="n"/>
      <c r="AL14" s="18" t="n"/>
      <c r="AM14" s="18" t="n"/>
      <c r="AN14" s="18" t="n"/>
      <c r="AO14" s="18" t="n"/>
      <c r="AP14" s="18" t="n"/>
      <c r="AQ14" s="18" t="n"/>
      <c r="AR14" s="18" t="n"/>
      <c r="AS14" s="18" t="n"/>
      <c r="AT14" s="18" t="n"/>
      <c r="AU14" s="18" t="n"/>
      <c r="AV14" s="18" t="n"/>
      <c r="AW14" s="18" t="n"/>
      <c r="AX14" s="18" t="n"/>
    </row>
    <row r="15">
      <c r="A15" t="inlineStr">
        <is>
          <t>% of India hires fully productive</t>
        </is>
      </c>
      <c r="B15" s="5" t="inlineStr">
        <is>
          <t>% · org input</t>
        </is>
      </c>
      <c r="C15" s="21" t="n"/>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c r="AA15" s="21" t="n"/>
      <c r="AB15" s="21" t="n"/>
      <c r="AC15" s="21" t="n"/>
      <c r="AD15" s="21" t="n"/>
      <c r="AE15" s="21" t="n"/>
      <c r="AF15" s="21" t="n"/>
      <c r="AG15" s="21" t="n"/>
      <c r="AH15" s="21" t="n"/>
      <c r="AI15" s="21" t="n"/>
      <c r="AJ15" s="21" t="n"/>
      <c r="AK15" s="21" t="n"/>
      <c r="AL15" s="21" t="n"/>
      <c r="AM15" s="21" t="n"/>
      <c r="AN15" s="21" t="n"/>
      <c r="AO15" s="21" t="n"/>
      <c r="AP15" s="21" t="n"/>
      <c r="AQ15" s="21" t="n"/>
      <c r="AR15" s="21" t="n"/>
      <c r="AS15" s="21" t="n"/>
      <c r="AT15" s="21" t="n"/>
      <c r="AU15" s="21" t="n"/>
      <c r="AV15" s="21" t="n"/>
      <c r="AW15" s="21" t="n"/>
      <c r="AX15" s="21" t="n"/>
    </row>
    <row r="16">
      <c r="A16" s="11" t="inlineStr">
        <is>
          <t>B.  GROSS REDUCTIONS REALIZED IN PERIOD</t>
        </is>
      </c>
      <c r="B16" s="16" t="inlineStr"/>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row>
    <row r="17">
      <c r="A17" t="inlineStr">
        <is>
          <t>Professional services — Target</t>
        </is>
      </c>
      <c r="B17" s="5" t="inlineStr">
        <is>
          <t>$K · linked</t>
        </is>
      </c>
      <c r="C17" s="22">
        <f>Targets!C54</f>
        <v/>
      </c>
      <c r="D17" s="22">
        <f>Targets!D54</f>
        <v/>
      </c>
      <c r="E17" s="22">
        <f>Targets!E54</f>
        <v/>
      </c>
      <c r="F17" s="22">
        <f>Targets!F54</f>
        <v/>
      </c>
      <c r="G17" s="22">
        <f>Targets!G54</f>
        <v/>
      </c>
      <c r="H17" s="22">
        <f>Targets!H54</f>
        <v/>
      </c>
      <c r="I17" s="22">
        <f>Targets!I54</f>
        <v/>
      </c>
      <c r="J17" s="22">
        <f>Targets!J54</f>
        <v/>
      </c>
      <c r="K17" s="22">
        <f>Targets!K54</f>
        <v/>
      </c>
      <c r="L17" s="22">
        <f>Targets!L54</f>
        <v/>
      </c>
      <c r="M17" s="22">
        <f>Targets!M54</f>
        <v/>
      </c>
      <c r="N17" s="22">
        <f>Targets!N54</f>
        <v/>
      </c>
      <c r="O17" s="22">
        <f>Targets!O54</f>
        <v/>
      </c>
      <c r="P17" s="22">
        <f>Targets!P54</f>
        <v/>
      </c>
      <c r="Q17" s="22">
        <f>Targets!Q54</f>
        <v/>
      </c>
      <c r="R17" s="22">
        <f>Targets!R54</f>
        <v/>
      </c>
      <c r="S17" s="22">
        <f>Targets!S54</f>
        <v/>
      </c>
      <c r="T17" s="22">
        <f>Targets!T54</f>
        <v/>
      </c>
      <c r="U17" s="22">
        <f>Targets!U54</f>
        <v/>
      </c>
      <c r="V17" s="22">
        <f>Targets!V54</f>
        <v/>
      </c>
      <c r="W17" s="22">
        <f>Targets!W54</f>
        <v/>
      </c>
      <c r="X17" s="22">
        <f>Targets!X54</f>
        <v/>
      </c>
      <c r="Y17" s="22">
        <f>Targets!Y54</f>
        <v/>
      </c>
      <c r="Z17" s="22">
        <f>Targets!Z54</f>
        <v/>
      </c>
      <c r="AA17" s="22">
        <f>Targets!AA54</f>
        <v/>
      </c>
      <c r="AB17" s="22">
        <f>Targets!AB54</f>
        <v/>
      </c>
      <c r="AC17" s="22">
        <f>Targets!AC54</f>
        <v/>
      </c>
      <c r="AD17" s="22">
        <f>Targets!AD54</f>
        <v/>
      </c>
      <c r="AE17" s="22">
        <f>Targets!AE54</f>
        <v/>
      </c>
      <c r="AF17" s="22">
        <f>Targets!AF54</f>
        <v/>
      </c>
      <c r="AG17" s="22">
        <f>Targets!AG54</f>
        <v/>
      </c>
      <c r="AH17" s="22">
        <f>Targets!AH54</f>
        <v/>
      </c>
      <c r="AI17" s="22">
        <f>Targets!AI54</f>
        <v/>
      </c>
      <c r="AJ17" s="22">
        <f>Targets!AJ54</f>
        <v/>
      </c>
      <c r="AK17" s="22">
        <f>Targets!AK54</f>
        <v/>
      </c>
      <c r="AL17" s="22">
        <f>Targets!AL54</f>
        <v/>
      </c>
      <c r="AM17" s="22">
        <f>Targets!AM54</f>
        <v/>
      </c>
      <c r="AN17" s="22">
        <f>Targets!AN54</f>
        <v/>
      </c>
      <c r="AO17" s="22">
        <f>Targets!AO54</f>
        <v/>
      </c>
      <c r="AP17" s="22">
        <f>Targets!AP54</f>
        <v/>
      </c>
      <c r="AQ17" s="22">
        <f>Targets!AQ54</f>
        <v/>
      </c>
      <c r="AR17" s="22">
        <f>Targets!AR54</f>
        <v/>
      </c>
      <c r="AS17" s="22">
        <f>Targets!AS54</f>
        <v/>
      </c>
      <c r="AT17" s="22">
        <f>Targets!AT54</f>
        <v/>
      </c>
      <c r="AU17" s="22">
        <f>Targets!AU54</f>
        <v/>
      </c>
      <c r="AV17" s="22">
        <f>Targets!AV54</f>
        <v/>
      </c>
      <c r="AW17" s="22">
        <f>Targets!AW54</f>
        <v/>
      </c>
      <c r="AX17" s="22">
        <f>Targets!AX54</f>
        <v/>
      </c>
    </row>
    <row r="18">
      <c r="A18" t="inlineStr">
        <is>
          <t>Professional services — Actual</t>
        </is>
      </c>
      <c r="B18" s="5" t="inlineStr">
        <is>
          <t>$K · org input</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row>
    <row r="19">
      <c r="A19" t="inlineStr">
        <is>
          <t>Offshore contractors — Target</t>
        </is>
      </c>
      <c r="B19" s="5" t="inlineStr">
        <is>
          <t>$K · linked</t>
        </is>
      </c>
      <c r="C19" s="22">
        <f>Targets!C55</f>
        <v/>
      </c>
      <c r="D19" s="22">
        <f>Targets!D55</f>
        <v/>
      </c>
      <c r="E19" s="22">
        <f>Targets!E55</f>
        <v/>
      </c>
      <c r="F19" s="22">
        <f>Targets!F55</f>
        <v/>
      </c>
      <c r="G19" s="22">
        <f>Targets!G55</f>
        <v/>
      </c>
      <c r="H19" s="22">
        <f>Targets!H55</f>
        <v/>
      </c>
      <c r="I19" s="22">
        <f>Targets!I55</f>
        <v/>
      </c>
      <c r="J19" s="22">
        <f>Targets!J55</f>
        <v/>
      </c>
      <c r="K19" s="22">
        <f>Targets!K55</f>
        <v/>
      </c>
      <c r="L19" s="22">
        <f>Targets!L55</f>
        <v/>
      </c>
      <c r="M19" s="22">
        <f>Targets!M55</f>
        <v/>
      </c>
      <c r="N19" s="22">
        <f>Targets!N55</f>
        <v/>
      </c>
      <c r="O19" s="22">
        <f>Targets!O55</f>
        <v/>
      </c>
      <c r="P19" s="22">
        <f>Targets!P55</f>
        <v/>
      </c>
      <c r="Q19" s="22">
        <f>Targets!Q55</f>
        <v/>
      </c>
      <c r="R19" s="22">
        <f>Targets!R55</f>
        <v/>
      </c>
      <c r="S19" s="22">
        <f>Targets!S55</f>
        <v/>
      </c>
      <c r="T19" s="22">
        <f>Targets!T55</f>
        <v/>
      </c>
      <c r="U19" s="22">
        <f>Targets!U55</f>
        <v/>
      </c>
      <c r="V19" s="22">
        <f>Targets!V55</f>
        <v/>
      </c>
      <c r="W19" s="22">
        <f>Targets!W55</f>
        <v/>
      </c>
      <c r="X19" s="22">
        <f>Targets!X55</f>
        <v/>
      </c>
      <c r="Y19" s="22">
        <f>Targets!Y55</f>
        <v/>
      </c>
      <c r="Z19" s="22">
        <f>Targets!Z55</f>
        <v/>
      </c>
      <c r="AA19" s="22">
        <f>Targets!AA55</f>
        <v/>
      </c>
      <c r="AB19" s="22">
        <f>Targets!AB55</f>
        <v/>
      </c>
      <c r="AC19" s="22">
        <f>Targets!AC55</f>
        <v/>
      </c>
      <c r="AD19" s="22">
        <f>Targets!AD55</f>
        <v/>
      </c>
      <c r="AE19" s="22">
        <f>Targets!AE55</f>
        <v/>
      </c>
      <c r="AF19" s="22">
        <f>Targets!AF55</f>
        <v/>
      </c>
      <c r="AG19" s="22">
        <f>Targets!AG55</f>
        <v/>
      </c>
      <c r="AH19" s="22">
        <f>Targets!AH55</f>
        <v/>
      </c>
      <c r="AI19" s="22">
        <f>Targets!AI55</f>
        <v/>
      </c>
      <c r="AJ19" s="22">
        <f>Targets!AJ55</f>
        <v/>
      </c>
      <c r="AK19" s="22">
        <f>Targets!AK55</f>
        <v/>
      </c>
      <c r="AL19" s="22">
        <f>Targets!AL55</f>
        <v/>
      </c>
      <c r="AM19" s="22">
        <f>Targets!AM55</f>
        <v/>
      </c>
      <c r="AN19" s="22">
        <f>Targets!AN55</f>
        <v/>
      </c>
      <c r="AO19" s="22">
        <f>Targets!AO55</f>
        <v/>
      </c>
      <c r="AP19" s="22">
        <f>Targets!AP55</f>
        <v/>
      </c>
      <c r="AQ19" s="22">
        <f>Targets!AQ55</f>
        <v/>
      </c>
      <c r="AR19" s="22">
        <f>Targets!AR55</f>
        <v/>
      </c>
      <c r="AS19" s="22">
        <f>Targets!AS55</f>
        <v/>
      </c>
      <c r="AT19" s="22">
        <f>Targets!AT55</f>
        <v/>
      </c>
      <c r="AU19" s="22">
        <f>Targets!AU55</f>
        <v/>
      </c>
      <c r="AV19" s="22">
        <f>Targets!AV55</f>
        <v/>
      </c>
      <c r="AW19" s="22">
        <f>Targets!AW55</f>
        <v/>
      </c>
      <c r="AX19" s="22">
        <f>Targets!AX55</f>
        <v/>
      </c>
    </row>
    <row r="20">
      <c r="A20" t="inlineStr">
        <is>
          <t>Offshore contractors — Actual</t>
        </is>
      </c>
      <c r="B20" s="5" t="inlineStr">
        <is>
          <t>$K · org input</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row>
    <row r="21">
      <c r="A21" t="inlineStr">
        <is>
          <t>Onshore contractors — Target</t>
        </is>
      </c>
      <c r="B21" s="5" t="inlineStr">
        <is>
          <t>$K · linked</t>
        </is>
      </c>
      <c r="C21" s="22">
        <f>Targets!C56</f>
        <v/>
      </c>
      <c r="D21" s="22">
        <f>Targets!D56</f>
        <v/>
      </c>
      <c r="E21" s="22">
        <f>Targets!E56</f>
        <v/>
      </c>
      <c r="F21" s="22">
        <f>Targets!F56</f>
        <v/>
      </c>
      <c r="G21" s="22">
        <f>Targets!G56</f>
        <v/>
      </c>
      <c r="H21" s="22">
        <f>Targets!H56</f>
        <v/>
      </c>
      <c r="I21" s="22">
        <f>Targets!I56</f>
        <v/>
      </c>
      <c r="J21" s="22">
        <f>Targets!J56</f>
        <v/>
      </c>
      <c r="K21" s="22">
        <f>Targets!K56</f>
        <v/>
      </c>
      <c r="L21" s="22">
        <f>Targets!L56</f>
        <v/>
      </c>
      <c r="M21" s="22">
        <f>Targets!M56</f>
        <v/>
      </c>
      <c r="N21" s="22">
        <f>Targets!N56</f>
        <v/>
      </c>
      <c r="O21" s="22">
        <f>Targets!O56</f>
        <v/>
      </c>
      <c r="P21" s="22">
        <f>Targets!P56</f>
        <v/>
      </c>
      <c r="Q21" s="22">
        <f>Targets!Q56</f>
        <v/>
      </c>
      <c r="R21" s="22">
        <f>Targets!R56</f>
        <v/>
      </c>
      <c r="S21" s="22">
        <f>Targets!S56</f>
        <v/>
      </c>
      <c r="T21" s="22">
        <f>Targets!T56</f>
        <v/>
      </c>
      <c r="U21" s="22">
        <f>Targets!U56</f>
        <v/>
      </c>
      <c r="V21" s="22">
        <f>Targets!V56</f>
        <v/>
      </c>
      <c r="W21" s="22">
        <f>Targets!W56</f>
        <v/>
      </c>
      <c r="X21" s="22">
        <f>Targets!X56</f>
        <v/>
      </c>
      <c r="Y21" s="22">
        <f>Targets!Y56</f>
        <v/>
      </c>
      <c r="Z21" s="22">
        <f>Targets!Z56</f>
        <v/>
      </c>
      <c r="AA21" s="22">
        <f>Targets!AA56</f>
        <v/>
      </c>
      <c r="AB21" s="22">
        <f>Targets!AB56</f>
        <v/>
      </c>
      <c r="AC21" s="22">
        <f>Targets!AC56</f>
        <v/>
      </c>
      <c r="AD21" s="22">
        <f>Targets!AD56</f>
        <v/>
      </c>
      <c r="AE21" s="22">
        <f>Targets!AE56</f>
        <v/>
      </c>
      <c r="AF21" s="22">
        <f>Targets!AF56</f>
        <v/>
      </c>
      <c r="AG21" s="22">
        <f>Targets!AG56</f>
        <v/>
      </c>
      <c r="AH21" s="22">
        <f>Targets!AH56</f>
        <v/>
      </c>
      <c r="AI21" s="22">
        <f>Targets!AI56</f>
        <v/>
      </c>
      <c r="AJ21" s="22">
        <f>Targets!AJ56</f>
        <v/>
      </c>
      <c r="AK21" s="22">
        <f>Targets!AK56</f>
        <v/>
      </c>
      <c r="AL21" s="22">
        <f>Targets!AL56</f>
        <v/>
      </c>
      <c r="AM21" s="22">
        <f>Targets!AM56</f>
        <v/>
      </c>
      <c r="AN21" s="22">
        <f>Targets!AN56</f>
        <v/>
      </c>
      <c r="AO21" s="22">
        <f>Targets!AO56</f>
        <v/>
      </c>
      <c r="AP21" s="22">
        <f>Targets!AP56</f>
        <v/>
      </c>
      <c r="AQ21" s="22">
        <f>Targets!AQ56</f>
        <v/>
      </c>
      <c r="AR21" s="22">
        <f>Targets!AR56</f>
        <v/>
      </c>
      <c r="AS21" s="22">
        <f>Targets!AS56</f>
        <v/>
      </c>
      <c r="AT21" s="22">
        <f>Targets!AT56</f>
        <v/>
      </c>
      <c r="AU21" s="22">
        <f>Targets!AU56</f>
        <v/>
      </c>
      <c r="AV21" s="22">
        <f>Targets!AV56</f>
        <v/>
      </c>
      <c r="AW21" s="22">
        <f>Targets!AW56</f>
        <v/>
      </c>
      <c r="AX21" s="22">
        <f>Targets!AX56</f>
        <v/>
      </c>
    </row>
    <row r="22">
      <c r="A22" t="inlineStr">
        <is>
          <t>Onshore contractors — Actual</t>
        </is>
      </c>
      <c r="B22" s="5" t="inlineStr">
        <is>
          <t>$K · org input</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row>
    <row r="23">
      <c r="A23" t="inlineStr">
        <is>
          <t>Employees / Other — Target</t>
        </is>
      </c>
      <c r="B23" s="5" t="inlineStr">
        <is>
          <t>$K · linked</t>
        </is>
      </c>
      <c r="C23" s="22">
        <f>Targets!C57</f>
        <v/>
      </c>
      <c r="D23" s="22">
        <f>Targets!D57</f>
        <v/>
      </c>
      <c r="E23" s="22">
        <f>Targets!E57</f>
        <v/>
      </c>
      <c r="F23" s="22">
        <f>Targets!F57</f>
        <v/>
      </c>
      <c r="G23" s="22">
        <f>Targets!G57</f>
        <v/>
      </c>
      <c r="H23" s="22">
        <f>Targets!H57</f>
        <v/>
      </c>
      <c r="I23" s="22">
        <f>Targets!I57</f>
        <v/>
      </c>
      <c r="J23" s="22">
        <f>Targets!J57</f>
        <v/>
      </c>
      <c r="K23" s="22">
        <f>Targets!K57</f>
        <v/>
      </c>
      <c r="L23" s="22">
        <f>Targets!L57</f>
        <v/>
      </c>
      <c r="M23" s="22">
        <f>Targets!M57</f>
        <v/>
      </c>
      <c r="N23" s="22">
        <f>Targets!N57</f>
        <v/>
      </c>
      <c r="O23" s="22">
        <f>Targets!O57</f>
        <v/>
      </c>
      <c r="P23" s="22">
        <f>Targets!P57</f>
        <v/>
      </c>
      <c r="Q23" s="22">
        <f>Targets!Q57</f>
        <v/>
      </c>
      <c r="R23" s="22">
        <f>Targets!R57</f>
        <v/>
      </c>
      <c r="S23" s="22">
        <f>Targets!S57</f>
        <v/>
      </c>
      <c r="T23" s="22">
        <f>Targets!T57</f>
        <v/>
      </c>
      <c r="U23" s="22">
        <f>Targets!U57</f>
        <v/>
      </c>
      <c r="V23" s="22">
        <f>Targets!V57</f>
        <v/>
      </c>
      <c r="W23" s="22">
        <f>Targets!W57</f>
        <v/>
      </c>
      <c r="X23" s="22">
        <f>Targets!X57</f>
        <v/>
      </c>
      <c r="Y23" s="22">
        <f>Targets!Y57</f>
        <v/>
      </c>
      <c r="Z23" s="22">
        <f>Targets!Z57</f>
        <v/>
      </c>
      <c r="AA23" s="22">
        <f>Targets!AA57</f>
        <v/>
      </c>
      <c r="AB23" s="22">
        <f>Targets!AB57</f>
        <v/>
      </c>
      <c r="AC23" s="22">
        <f>Targets!AC57</f>
        <v/>
      </c>
      <c r="AD23" s="22">
        <f>Targets!AD57</f>
        <v/>
      </c>
      <c r="AE23" s="22">
        <f>Targets!AE57</f>
        <v/>
      </c>
      <c r="AF23" s="22">
        <f>Targets!AF57</f>
        <v/>
      </c>
      <c r="AG23" s="22">
        <f>Targets!AG57</f>
        <v/>
      </c>
      <c r="AH23" s="22">
        <f>Targets!AH57</f>
        <v/>
      </c>
      <c r="AI23" s="22">
        <f>Targets!AI57</f>
        <v/>
      </c>
      <c r="AJ23" s="22">
        <f>Targets!AJ57</f>
        <v/>
      </c>
      <c r="AK23" s="22">
        <f>Targets!AK57</f>
        <v/>
      </c>
      <c r="AL23" s="22">
        <f>Targets!AL57</f>
        <v/>
      </c>
      <c r="AM23" s="22">
        <f>Targets!AM57</f>
        <v/>
      </c>
      <c r="AN23" s="22">
        <f>Targets!AN57</f>
        <v/>
      </c>
      <c r="AO23" s="22">
        <f>Targets!AO57</f>
        <v/>
      </c>
      <c r="AP23" s="22">
        <f>Targets!AP57</f>
        <v/>
      </c>
      <c r="AQ23" s="22">
        <f>Targets!AQ57</f>
        <v/>
      </c>
      <c r="AR23" s="22">
        <f>Targets!AR57</f>
        <v/>
      </c>
      <c r="AS23" s="22">
        <f>Targets!AS57</f>
        <v/>
      </c>
      <c r="AT23" s="22">
        <f>Targets!AT57</f>
        <v/>
      </c>
      <c r="AU23" s="22">
        <f>Targets!AU57</f>
        <v/>
      </c>
      <c r="AV23" s="22">
        <f>Targets!AV57</f>
        <v/>
      </c>
      <c r="AW23" s="22">
        <f>Targets!AW57</f>
        <v/>
      </c>
      <c r="AX23" s="22">
        <f>Targets!AX57</f>
        <v/>
      </c>
    </row>
    <row r="24">
      <c r="A24" t="inlineStr">
        <is>
          <t>Employees / Other — Actual</t>
        </is>
      </c>
      <c r="B24" s="5" t="inlineStr">
        <is>
          <t>$K · org input</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row>
    <row r="25">
      <c r="A25" t="inlineStr">
        <is>
          <t>Total gross reductions — Target</t>
        </is>
      </c>
      <c r="B25" s="5" t="inlineStr">
        <is>
          <t>$K · auto</t>
        </is>
      </c>
      <c r="C25" s="15">
        <f>C17+C19+C21+C23</f>
        <v/>
      </c>
      <c r="D25" s="15">
        <f>D17+D19+D21+D23</f>
        <v/>
      </c>
      <c r="E25" s="15">
        <f>E17+E19+E21+E23</f>
        <v/>
      </c>
      <c r="F25" s="15">
        <f>F17+F19+F21+F23</f>
        <v/>
      </c>
      <c r="G25" s="15">
        <f>G17+G19+G21+G23</f>
        <v/>
      </c>
      <c r="H25" s="15">
        <f>H17+H19+H21+H23</f>
        <v/>
      </c>
      <c r="I25" s="15">
        <f>I17+I19+I21+I23</f>
        <v/>
      </c>
      <c r="J25" s="15">
        <f>J17+J19+J21+J23</f>
        <v/>
      </c>
      <c r="K25" s="15">
        <f>K17+K19+K21+K23</f>
        <v/>
      </c>
      <c r="L25" s="15">
        <f>L17+L19+L21+L23</f>
        <v/>
      </c>
      <c r="M25" s="15">
        <f>M17+M19+M21+M23</f>
        <v/>
      </c>
      <c r="N25" s="15">
        <f>N17+N19+N21+N23</f>
        <v/>
      </c>
      <c r="O25" s="15">
        <f>O17+O19+O21+O23</f>
        <v/>
      </c>
      <c r="P25" s="15">
        <f>P17+P19+P21+P23</f>
        <v/>
      </c>
      <c r="Q25" s="15">
        <f>Q17+Q19+Q21+Q23</f>
        <v/>
      </c>
      <c r="R25" s="15">
        <f>R17+R19+R21+R23</f>
        <v/>
      </c>
      <c r="S25" s="15">
        <f>S17+S19+S21+S23</f>
        <v/>
      </c>
      <c r="T25" s="15">
        <f>T17+T19+T21+T23</f>
        <v/>
      </c>
      <c r="U25" s="15">
        <f>U17+U19+U21+U23</f>
        <v/>
      </c>
      <c r="V25" s="15">
        <f>V17+V19+V21+V23</f>
        <v/>
      </c>
      <c r="W25" s="15">
        <f>W17+W19+W21+W23</f>
        <v/>
      </c>
      <c r="X25" s="15">
        <f>X17+X19+X21+X23</f>
        <v/>
      </c>
      <c r="Y25" s="15">
        <f>Y17+Y19+Y21+Y23</f>
        <v/>
      </c>
      <c r="Z25" s="15">
        <f>Z17+Z19+Z21+Z23</f>
        <v/>
      </c>
      <c r="AA25" s="15">
        <f>AA17+AA19+AA21+AA23</f>
        <v/>
      </c>
      <c r="AB25" s="15">
        <f>AB17+AB19+AB21+AB23</f>
        <v/>
      </c>
      <c r="AC25" s="15">
        <f>AC17+AC19+AC21+AC23</f>
        <v/>
      </c>
      <c r="AD25" s="15">
        <f>AD17+AD19+AD21+AD23</f>
        <v/>
      </c>
      <c r="AE25" s="15">
        <f>AE17+AE19+AE21+AE23</f>
        <v/>
      </c>
      <c r="AF25" s="15">
        <f>AF17+AF19+AF21+AF23</f>
        <v/>
      </c>
      <c r="AG25" s="15">
        <f>AG17+AG19+AG21+AG23</f>
        <v/>
      </c>
      <c r="AH25" s="15">
        <f>AH17+AH19+AH21+AH23</f>
        <v/>
      </c>
      <c r="AI25" s="15">
        <f>AI17+AI19+AI21+AI23</f>
        <v/>
      </c>
      <c r="AJ25" s="15">
        <f>AJ17+AJ19+AJ21+AJ23</f>
        <v/>
      </c>
      <c r="AK25" s="15">
        <f>AK17+AK19+AK21+AK23</f>
        <v/>
      </c>
      <c r="AL25" s="15">
        <f>AL17+AL19+AL21+AL23</f>
        <v/>
      </c>
      <c r="AM25" s="15">
        <f>AM17+AM19+AM21+AM23</f>
        <v/>
      </c>
      <c r="AN25" s="15">
        <f>AN17+AN19+AN21+AN23</f>
        <v/>
      </c>
      <c r="AO25" s="15">
        <f>AO17+AO19+AO21+AO23</f>
        <v/>
      </c>
      <c r="AP25" s="15">
        <f>AP17+AP19+AP21+AP23</f>
        <v/>
      </c>
      <c r="AQ25" s="15">
        <f>AQ17+AQ19+AQ21+AQ23</f>
        <v/>
      </c>
      <c r="AR25" s="15">
        <f>AR17+AR19+AR21+AR23</f>
        <v/>
      </c>
      <c r="AS25" s="15">
        <f>AS17+AS19+AS21+AS23</f>
        <v/>
      </c>
      <c r="AT25" s="15">
        <f>AT17+AT19+AT21+AT23</f>
        <v/>
      </c>
      <c r="AU25" s="15">
        <f>AU17+AU19+AU21+AU23</f>
        <v/>
      </c>
      <c r="AV25" s="15">
        <f>AV17+AV19+AV21+AV23</f>
        <v/>
      </c>
      <c r="AW25" s="15">
        <f>AW17+AW19+AW21+AW23</f>
        <v/>
      </c>
      <c r="AX25" s="15">
        <f>AX17+AX19+AX21+AX23</f>
        <v/>
      </c>
    </row>
    <row r="26">
      <c r="A26" t="inlineStr">
        <is>
          <t>Total gross reductions — Actual</t>
        </is>
      </c>
      <c r="B26" s="5" t="inlineStr">
        <is>
          <t>$K · auto</t>
        </is>
      </c>
      <c r="C26" s="15">
        <f>C18+C20+C22+C24</f>
        <v/>
      </c>
      <c r="D26" s="15">
        <f>D18+D20+D22+D24</f>
        <v/>
      </c>
      <c r="E26" s="15">
        <f>E18+E20+E22+E24</f>
        <v/>
      </c>
      <c r="F26" s="15">
        <f>F18+F20+F22+F24</f>
        <v/>
      </c>
      <c r="G26" s="15">
        <f>G18+G20+G22+G24</f>
        <v/>
      </c>
      <c r="H26" s="15">
        <f>H18+H20+H22+H24</f>
        <v/>
      </c>
      <c r="I26" s="15">
        <f>I18+I20+I22+I24</f>
        <v/>
      </c>
      <c r="J26" s="15">
        <f>J18+J20+J22+J24</f>
        <v/>
      </c>
      <c r="K26" s="15">
        <f>K18+K20+K22+K24</f>
        <v/>
      </c>
      <c r="L26" s="15">
        <f>L18+L20+L22+L24</f>
        <v/>
      </c>
      <c r="M26" s="15">
        <f>M18+M20+M22+M24</f>
        <v/>
      </c>
      <c r="N26" s="15">
        <f>N18+N20+N22+N24</f>
        <v/>
      </c>
      <c r="O26" s="15">
        <f>O18+O20+O22+O24</f>
        <v/>
      </c>
      <c r="P26" s="15">
        <f>P18+P20+P22+P24</f>
        <v/>
      </c>
      <c r="Q26" s="15">
        <f>Q18+Q20+Q22+Q24</f>
        <v/>
      </c>
      <c r="R26" s="15">
        <f>R18+R20+R22+R24</f>
        <v/>
      </c>
      <c r="S26" s="15">
        <f>S18+S20+S22+S24</f>
        <v/>
      </c>
      <c r="T26" s="15">
        <f>T18+T20+T22+T24</f>
        <v/>
      </c>
      <c r="U26" s="15">
        <f>U18+U20+U22+U24</f>
        <v/>
      </c>
      <c r="V26" s="15">
        <f>V18+V20+V22+V24</f>
        <v/>
      </c>
      <c r="W26" s="15">
        <f>W18+W20+W22+W24</f>
        <v/>
      </c>
      <c r="X26" s="15">
        <f>X18+X20+X22+X24</f>
        <v/>
      </c>
      <c r="Y26" s="15">
        <f>Y18+Y20+Y22+Y24</f>
        <v/>
      </c>
      <c r="Z26" s="15">
        <f>Z18+Z20+Z22+Z24</f>
        <v/>
      </c>
      <c r="AA26" s="15">
        <f>AA18+AA20+AA22+AA24</f>
        <v/>
      </c>
      <c r="AB26" s="15">
        <f>AB18+AB20+AB22+AB24</f>
        <v/>
      </c>
      <c r="AC26" s="15">
        <f>AC18+AC20+AC22+AC24</f>
        <v/>
      </c>
      <c r="AD26" s="15">
        <f>AD18+AD20+AD22+AD24</f>
        <v/>
      </c>
      <c r="AE26" s="15">
        <f>AE18+AE20+AE22+AE24</f>
        <v/>
      </c>
      <c r="AF26" s="15">
        <f>AF18+AF20+AF22+AF24</f>
        <v/>
      </c>
      <c r="AG26" s="15">
        <f>AG18+AG20+AG22+AG24</f>
        <v/>
      </c>
      <c r="AH26" s="15">
        <f>AH18+AH20+AH22+AH24</f>
        <v/>
      </c>
      <c r="AI26" s="15">
        <f>AI18+AI20+AI22+AI24</f>
        <v/>
      </c>
      <c r="AJ26" s="15">
        <f>AJ18+AJ20+AJ22+AJ24</f>
        <v/>
      </c>
      <c r="AK26" s="15">
        <f>AK18+AK20+AK22+AK24</f>
        <v/>
      </c>
      <c r="AL26" s="15">
        <f>AL18+AL20+AL22+AL24</f>
        <v/>
      </c>
      <c r="AM26" s="15">
        <f>AM18+AM20+AM22+AM24</f>
        <v/>
      </c>
      <c r="AN26" s="15">
        <f>AN18+AN20+AN22+AN24</f>
        <v/>
      </c>
      <c r="AO26" s="15">
        <f>AO18+AO20+AO22+AO24</f>
        <v/>
      </c>
      <c r="AP26" s="15">
        <f>AP18+AP20+AP22+AP24</f>
        <v/>
      </c>
      <c r="AQ26" s="15">
        <f>AQ18+AQ20+AQ22+AQ24</f>
        <v/>
      </c>
      <c r="AR26" s="15">
        <f>AR18+AR20+AR22+AR24</f>
        <v/>
      </c>
      <c r="AS26" s="15">
        <f>AS18+AS20+AS22+AS24</f>
        <v/>
      </c>
      <c r="AT26" s="15">
        <f>AT18+AT20+AT22+AT24</f>
        <v/>
      </c>
      <c r="AU26" s="15">
        <f>AU18+AU20+AU22+AU24</f>
        <v/>
      </c>
      <c r="AV26" s="15">
        <f>AV18+AV20+AV22+AV24</f>
        <v/>
      </c>
      <c r="AW26" s="15">
        <f>AW18+AW20+AW22+AW24</f>
        <v/>
      </c>
      <c r="AX26" s="15">
        <f>AX18+AX20+AX22+AX24</f>
        <v/>
      </c>
    </row>
    <row r="27">
      <c r="A27" t="inlineStr">
        <is>
          <t>Gross reductions variance</t>
        </is>
      </c>
      <c r="B27" s="5" t="inlineStr">
        <is>
          <t>$K · auto</t>
        </is>
      </c>
      <c r="C27" s="24">
        <f>C26-C25</f>
        <v/>
      </c>
      <c r="D27" s="24">
        <f>D26-D25</f>
        <v/>
      </c>
      <c r="E27" s="24">
        <f>E26-E25</f>
        <v/>
      </c>
      <c r="F27" s="24">
        <f>F26-F25</f>
        <v/>
      </c>
      <c r="G27" s="24">
        <f>G26-G25</f>
        <v/>
      </c>
      <c r="H27" s="24">
        <f>H26-H25</f>
        <v/>
      </c>
      <c r="I27" s="24">
        <f>I26-I25</f>
        <v/>
      </c>
      <c r="J27" s="24">
        <f>J26-J25</f>
        <v/>
      </c>
      <c r="K27" s="24">
        <f>K26-K25</f>
        <v/>
      </c>
      <c r="L27" s="24">
        <f>L26-L25</f>
        <v/>
      </c>
      <c r="M27" s="24">
        <f>M26-M25</f>
        <v/>
      </c>
      <c r="N27" s="24">
        <f>N26-N25</f>
        <v/>
      </c>
      <c r="O27" s="24">
        <f>O26-O25</f>
        <v/>
      </c>
      <c r="P27" s="24">
        <f>P26-P25</f>
        <v/>
      </c>
      <c r="Q27" s="24">
        <f>Q26-Q25</f>
        <v/>
      </c>
      <c r="R27" s="24">
        <f>R26-R25</f>
        <v/>
      </c>
      <c r="S27" s="24">
        <f>S26-S25</f>
        <v/>
      </c>
      <c r="T27" s="24">
        <f>T26-T25</f>
        <v/>
      </c>
      <c r="U27" s="24">
        <f>U26-U25</f>
        <v/>
      </c>
      <c r="V27" s="24">
        <f>V26-V25</f>
        <v/>
      </c>
      <c r="W27" s="24">
        <f>W26-W25</f>
        <v/>
      </c>
      <c r="X27" s="24">
        <f>X26-X25</f>
        <v/>
      </c>
      <c r="Y27" s="24">
        <f>Y26-Y25</f>
        <v/>
      </c>
      <c r="Z27" s="24">
        <f>Z26-Z25</f>
        <v/>
      </c>
      <c r="AA27" s="24">
        <f>AA26-AA25</f>
        <v/>
      </c>
      <c r="AB27" s="24">
        <f>AB26-AB25</f>
        <v/>
      </c>
      <c r="AC27" s="24">
        <f>AC26-AC25</f>
        <v/>
      </c>
      <c r="AD27" s="24">
        <f>AD26-AD25</f>
        <v/>
      </c>
      <c r="AE27" s="24">
        <f>AE26-AE25</f>
        <v/>
      </c>
      <c r="AF27" s="24">
        <f>AF26-AF25</f>
        <v/>
      </c>
      <c r="AG27" s="24">
        <f>AG26-AG25</f>
        <v/>
      </c>
      <c r="AH27" s="24">
        <f>AH26-AH25</f>
        <v/>
      </c>
      <c r="AI27" s="24">
        <f>AI26-AI25</f>
        <v/>
      </c>
      <c r="AJ27" s="24">
        <f>AJ26-AJ25</f>
        <v/>
      </c>
      <c r="AK27" s="24">
        <f>AK26-AK25</f>
        <v/>
      </c>
      <c r="AL27" s="24">
        <f>AL26-AL25</f>
        <v/>
      </c>
      <c r="AM27" s="24">
        <f>AM26-AM25</f>
        <v/>
      </c>
      <c r="AN27" s="24">
        <f>AN26-AN25</f>
        <v/>
      </c>
      <c r="AO27" s="24">
        <f>AO26-AO25</f>
        <v/>
      </c>
      <c r="AP27" s="24">
        <f>AP26-AP25</f>
        <v/>
      </c>
      <c r="AQ27" s="24">
        <f>AQ26-AQ25</f>
        <v/>
      </c>
      <c r="AR27" s="24">
        <f>AR26-AR25</f>
        <v/>
      </c>
      <c r="AS27" s="24">
        <f>AS26-AS25</f>
        <v/>
      </c>
      <c r="AT27" s="24">
        <f>AT26-AT25</f>
        <v/>
      </c>
      <c r="AU27" s="24">
        <f>AU26-AU25</f>
        <v/>
      </c>
      <c r="AV27" s="24">
        <f>AV26-AV25</f>
        <v/>
      </c>
      <c r="AW27" s="24">
        <f>AW26-AW25</f>
        <v/>
      </c>
      <c r="AX27" s="24">
        <f>AX26-AX25</f>
        <v/>
      </c>
    </row>
    <row r="28">
      <c r="A28" t="inlineStr">
        <is>
          <t>Headcount reduced in month — Actual</t>
        </is>
      </c>
      <c r="B28" s="5" t="inlineStr">
        <is>
          <t>heads · org input</t>
        </is>
      </c>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c r="Z28" s="25" t="n"/>
      <c r="AA28" s="25" t="n"/>
      <c r="AB28" s="25" t="n"/>
      <c r="AC28" s="25" t="n"/>
      <c r="AD28" s="25" t="n"/>
      <c r="AE28" s="25" t="n"/>
      <c r="AF28" s="25" t="n"/>
      <c r="AG28" s="25" t="n"/>
      <c r="AH28" s="25" t="n"/>
      <c r="AI28" s="25" t="n"/>
      <c r="AJ28" s="25" t="n"/>
      <c r="AK28" s="25" t="n"/>
      <c r="AL28" s="25" t="n"/>
      <c r="AM28" s="25" t="n"/>
      <c r="AN28" s="25" t="n"/>
      <c r="AO28" s="25" t="n"/>
      <c r="AP28" s="25" t="n"/>
      <c r="AQ28" s="25" t="n"/>
      <c r="AR28" s="25" t="n"/>
      <c r="AS28" s="25" t="n"/>
      <c r="AT28" s="25" t="n"/>
      <c r="AU28" s="25" t="n"/>
      <c r="AV28" s="25" t="n"/>
      <c r="AW28" s="25" t="n"/>
      <c r="AX28" s="25" t="n"/>
    </row>
    <row r="29">
      <c r="A29" t="inlineStr">
        <is>
          <t>Exit run-rate of reductions (annualized)</t>
        </is>
      </c>
      <c r="B29" s="5" t="inlineStr">
        <is>
          <t>$K · org input</t>
        </is>
      </c>
      <c r="C29" s="23" t="n"/>
      <c r="D29" s="23" t="n"/>
      <c r="E29" s="23" t="n"/>
      <c r="F29" s="23" t="n"/>
      <c r="G29" s="23" t="n"/>
      <c r="H29" s="23" t="n"/>
      <c r="I29" s="23" t="n"/>
      <c r="J29" s="23" t="n"/>
      <c r="K29" s="23" t="n"/>
      <c r="L29" s="23" t="n"/>
      <c r="M29" s="23" t="n"/>
      <c r="N29" s="23" t="n"/>
      <c r="O29" s="23" t="n"/>
      <c r="P29" s="23" t="n"/>
      <c r="Q29" s="23" t="n"/>
      <c r="R29" s="23" t="n"/>
      <c r="S29" s="23" t="n"/>
      <c r="T29" s="23" t="n"/>
      <c r="U29" s="23" t="n"/>
      <c r="V29" s="23" t="n"/>
      <c r="W29" s="23" t="n"/>
      <c r="X29" s="23" t="n"/>
      <c r="Y29" s="23" t="n"/>
      <c r="Z29" s="23" t="n"/>
      <c r="AA29" s="23" t="n"/>
      <c r="AB29" s="23" t="n"/>
      <c r="AC29" s="23" t="n"/>
      <c r="AD29" s="23" t="n"/>
      <c r="AE29" s="23" t="n"/>
      <c r="AF29" s="23" t="n"/>
      <c r="AG29" s="23" t="n"/>
      <c r="AH29" s="23" t="n"/>
      <c r="AI29" s="23" t="n"/>
      <c r="AJ29" s="23" t="n"/>
      <c r="AK29" s="23" t="n"/>
      <c r="AL29" s="23" t="n"/>
      <c r="AM29" s="23" t="n"/>
      <c r="AN29" s="23" t="n"/>
      <c r="AO29" s="23" t="n"/>
      <c r="AP29" s="23" t="n"/>
      <c r="AQ29" s="23" t="n"/>
      <c r="AR29" s="23" t="n"/>
      <c r="AS29" s="23" t="n"/>
      <c r="AT29" s="23" t="n"/>
      <c r="AU29" s="23" t="n"/>
      <c r="AV29" s="23" t="n"/>
      <c r="AW29" s="23" t="n"/>
      <c r="AX29" s="23" t="n"/>
    </row>
    <row r="30">
      <c r="A30" s="11" t="inlineStr">
        <is>
          <t>C.  INDIA COST ADDS</t>
        </is>
      </c>
      <c r="B30" s="16" t="inlineStr"/>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row>
    <row r="31">
      <c r="A31" t="inlineStr">
        <is>
          <t>India loaded cost adds — Target</t>
        </is>
      </c>
      <c r="B31" s="5" t="inlineStr">
        <is>
          <t>$K · linked</t>
        </is>
      </c>
      <c r="C31" s="22">
        <f>Targets!C58</f>
        <v/>
      </c>
      <c r="D31" s="22">
        <f>Targets!D58</f>
        <v/>
      </c>
      <c r="E31" s="22">
        <f>Targets!E58</f>
        <v/>
      </c>
      <c r="F31" s="22">
        <f>Targets!F58</f>
        <v/>
      </c>
      <c r="G31" s="22">
        <f>Targets!G58</f>
        <v/>
      </c>
      <c r="H31" s="22">
        <f>Targets!H58</f>
        <v/>
      </c>
      <c r="I31" s="22">
        <f>Targets!I58</f>
        <v/>
      </c>
      <c r="J31" s="22">
        <f>Targets!J58</f>
        <v/>
      </c>
      <c r="K31" s="22">
        <f>Targets!K58</f>
        <v/>
      </c>
      <c r="L31" s="22">
        <f>Targets!L58</f>
        <v/>
      </c>
      <c r="M31" s="22">
        <f>Targets!M58</f>
        <v/>
      </c>
      <c r="N31" s="22">
        <f>Targets!N58</f>
        <v/>
      </c>
      <c r="O31" s="22">
        <f>Targets!O58</f>
        <v/>
      </c>
      <c r="P31" s="22">
        <f>Targets!P58</f>
        <v/>
      </c>
      <c r="Q31" s="22">
        <f>Targets!Q58</f>
        <v/>
      </c>
      <c r="R31" s="22">
        <f>Targets!R58</f>
        <v/>
      </c>
      <c r="S31" s="22">
        <f>Targets!S58</f>
        <v/>
      </c>
      <c r="T31" s="22">
        <f>Targets!T58</f>
        <v/>
      </c>
      <c r="U31" s="22">
        <f>Targets!U58</f>
        <v/>
      </c>
      <c r="V31" s="22">
        <f>Targets!V58</f>
        <v/>
      </c>
      <c r="W31" s="22">
        <f>Targets!W58</f>
        <v/>
      </c>
      <c r="X31" s="22">
        <f>Targets!X58</f>
        <v/>
      </c>
      <c r="Y31" s="22">
        <f>Targets!Y58</f>
        <v/>
      </c>
      <c r="Z31" s="22">
        <f>Targets!Z58</f>
        <v/>
      </c>
      <c r="AA31" s="22">
        <f>Targets!AA58</f>
        <v/>
      </c>
      <c r="AB31" s="22">
        <f>Targets!AB58</f>
        <v/>
      </c>
      <c r="AC31" s="22">
        <f>Targets!AC58</f>
        <v/>
      </c>
      <c r="AD31" s="22">
        <f>Targets!AD58</f>
        <v/>
      </c>
      <c r="AE31" s="22">
        <f>Targets!AE58</f>
        <v/>
      </c>
      <c r="AF31" s="22">
        <f>Targets!AF58</f>
        <v/>
      </c>
      <c r="AG31" s="22">
        <f>Targets!AG58</f>
        <v/>
      </c>
      <c r="AH31" s="22">
        <f>Targets!AH58</f>
        <v/>
      </c>
      <c r="AI31" s="22">
        <f>Targets!AI58</f>
        <v/>
      </c>
      <c r="AJ31" s="22">
        <f>Targets!AJ58</f>
        <v/>
      </c>
      <c r="AK31" s="22">
        <f>Targets!AK58</f>
        <v/>
      </c>
      <c r="AL31" s="22">
        <f>Targets!AL58</f>
        <v/>
      </c>
      <c r="AM31" s="22">
        <f>Targets!AM58</f>
        <v/>
      </c>
      <c r="AN31" s="22">
        <f>Targets!AN58</f>
        <v/>
      </c>
      <c r="AO31" s="22">
        <f>Targets!AO58</f>
        <v/>
      </c>
      <c r="AP31" s="22">
        <f>Targets!AP58</f>
        <v/>
      </c>
      <c r="AQ31" s="22">
        <f>Targets!AQ58</f>
        <v/>
      </c>
      <c r="AR31" s="22">
        <f>Targets!AR58</f>
        <v/>
      </c>
      <c r="AS31" s="22">
        <f>Targets!AS58</f>
        <v/>
      </c>
      <c r="AT31" s="22">
        <f>Targets!AT58</f>
        <v/>
      </c>
      <c r="AU31" s="22">
        <f>Targets!AU58</f>
        <v/>
      </c>
      <c r="AV31" s="22">
        <f>Targets!AV58</f>
        <v/>
      </c>
      <c r="AW31" s="22">
        <f>Targets!AW58</f>
        <v/>
      </c>
      <c r="AX31" s="22">
        <f>Targets!AX58</f>
        <v/>
      </c>
    </row>
    <row r="32">
      <c r="A32" t="inlineStr">
        <is>
          <t>India loaded cost adds — Actual</t>
        </is>
      </c>
      <c r="B32" s="5" t="inlineStr">
        <is>
          <t>$K · org input</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row>
    <row r="33">
      <c r="A33" t="inlineStr">
        <is>
          <t>One-time transition costs (memo — never net)</t>
        </is>
      </c>
      <c r="B33" s="5" t="inlineStr">
        <is>
          <t>$K · org input</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row>
    <row r="34">
      <c r="A34" s="11" t="inlineStr">
        <is>
          <t>D.  NET LABOR ARBITRAGE  (B − C)</t>
        </is>
      </c>
      <c r="B34" s="16" t="inlineStr"/>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row>
    <row r="35">
      <c r="A35" t="inlineStr">
        <is>
          <t>Net labor arbitrage — Target</t>
        </is>
      </c>
      <c r="B35" s="5" t="inlineStr">
        <is>
          <t>$K · linked</t>
        </is>
      </c>
      <c r="C35" s="22">
        <f>Targets!C59</f>
        <v/>
      </c>
      <c r="D35" s="22">
        <f>Targets!D59</f>
        <v/>
      </c>
      <c r="E35" s="22">
        <f>Targets!E59</f>
        <v/>
      </c>
      <c r="F35" s="22">
        <f>Targets!F59</f>
        <v/>
      </c>
      <c r="G35" s="22">
        <f>Targets!G59</f>
        <v/>
      </c>
      <c r="H35" s="22">
        <f>Targets!H59</f>
        <v/>
      </c>
      <c r="I35" s="22">
        <f>Targets!I59</f>
        <v/>
      </c>
      <c r="J35" s="22">
        <f>Targets!J59</f>
        <v/>
      </c>
      <c r="K35" s="22">
        <f>Targets!K59</f>
        <v/>
      </c>
      <c r="L35" s="22">
        <f>Targets!L59</f>
        <v/>
      </c>
      <c r="M35" s="22">
        <f>Targets!M59</f>
        <v/>
      </c>
      <c r="N35" s="22">
        <f>Targets!N59</f>
        <v/>
      </c>
      <c r="O35" s="22">
        <f>Targets!O59</f>
        <v/>
      </c>
      <c r="P35" s="22">
        <f>Targets!P59</f>
        <v/>
      </c>
      <c r="Q35" s="22">
        <f>Targets!Q59</f>
        <v/>
      </c>
      <c r="R35" s="22">
        <f>Targets!R59</f>
        <v/>
      </c>
      <c r="S35" s="22">
        <f>Targets!S59</f>
        <v/>
      </c>
      <c r="T35" s="22">
        <f>Targets!T59</f>
        <v/>
      </c>
      <c r="U35" s="22">
        <f>Targets!U59</f>
        <v/>
      </c>
      <c r="V35" s="22">
        <f>Targets!V59</f>
        <v/>
      </c>
      <c r="W35" s="22">
        <f>Targets!W59</f>
        <v/>
      </c>
      <c r="X35" s="22">
        <f>Targets!X59</f>
        <v/>
      </c>
      <c r="Y35" s="22">
        <f>Targets!Y59</f>
        <v/>
      </c>
      <c r="Z35" s="22">
        <f>Targets!Z59</f>
        <v/>
      </c>
      <c r="AA35" s="22">
        <f>Targets!AA59</f>
        <v/>
      </c>
      <c r="AB35" s="22">
        <f>Targets!AB59</f>
        <v/>
      </c>
      <c r="AC35" s="22">
        <f>Targets!AC59</f>
        <v/>
      </c>
      <c r="AD35" s="22">
        <f>Targets!AD59</f>
        <v/>
      </c>
      <c r="AE35" s="22">
        <f>Targets!AE59</f>
        <v/>
      </c>
      <c r="AF35" s="22">
        <f>Targets!AF59</f>
        <v/>
      </c>
      <c r="AG35" s="22">
        <f>Targets!AG59</f>
        <v/>
      </c>
      <c r="AH35" s="22">
        <f>Targets!AH59</f>
        <v/>
      </c>
      <c r="AI35" s="22">
        <f>Targets!AI59</f>
        <v/>
      </c>
      <c r="AJ35" s="22">
        <f>Targets!AJ59</f>
        <v/>
      </c>
      <c r="AK35" s="22">
        <f>Targets!AK59</f>
        <v/>
      </c>
      <c r="AL35" s="22">
        <f>Targets!AL59</f>
        <v/>
      </c>
      <c r="AM35" s="22">
        <f>Targets!AM59</f>
        <v/>
      </c>
      <c r="AN35" s="22">
        <f>Targets!AN59</f>
        <v/>
      </c>
      <c r="AO35" s="22">
        <f>Targets!AO59</f>
        <v/>
      </c>
      <c r="AP35" s="22">
        <f>Targets!AP59</f>
        <v/>
      </c>
      <c r="AQ35" s="22">
        <f>Targets!AQ59</f>
        <v/>
      </c>
      <c r="AR35" s="22">
        <f>Targets!AR59</f>
        <v/>
      </c>
      <c r="AS35" s="22">
        <f>Targets!AS59</f>
        <v/>
      </c>
      <c r="AT35" s="22">
        <f>Targets!AT59</f>
        <v/>
      </c>
      <c r="AU35" s="22">
        <f>Targets!AU59</f>
        <v/>
      </c>
      <c r="AV35" s="22">
        <f>Targets!AV59</f>
        <v/>
      </c>
      <c r="AW35" s="22">
        <f>Targets!AW59</f>
        <v/>
      </c>
      <c r="AX35" s="22">
        <f>Targets!AX59</f>
        <v/>
      </c>
    </row>
    <row r="36">
      <c r="A36" t="inlineStr">
        <is>
          <t>Net labor arbitrage — Actual</t>
        </is>
      </c>
      <c r="B36" s="5" t="inlineStr">
        <is>
          <t>$K · auto</t>
        </is>
      </c>
      <c r="C36" s="15">
        <f>C26-C32</f>
        <v/>
      </c>
      <c r="D36" s="15">
        <f>D26-D32</f>
        <v/>
      </c>
      <c r="E36" s="15">
        <f>E26-E32</f>
        <v/>
      </c>
      <c r="F36" s="15">
        <f>F26-F32</f>
        <v/>
      </c>
      <c r="G36" s="15">
        <f>G26-G32</f>
        <v/>
      </c>
      <c r="H36" s="15">
        <f>H26-H32</f>
        <v/>
      </c>
      <c r="I36" s="15">
        <f>I26-I32</f>
        <v/>
      </c>
      <c r="J36" s="15">
        <f>J26-J32</f>
        <v/>
      </c>
      <c r="K36" s="15">
        <f>K26-K32</f>
        <v/>
      </c>
      <c r="L36" s="15">
        <f>L26-L32</f>
        <v/>
      </c>
      <c r="M36" s="15">
        <f>M26-M32</f>
        <v/>
      </c>
      <c r="N36" s="15">
        <f>N26-N32</f>
        <v/>
      </c>
      <c r="O36" s="15">
        <f>O26-O32</f>
        <v/>
      </c>
      <c r="P36" s="15">
        <f>P26-P32</f>
        <v/>
      </c>
      <c r="Q36" s="15">
        <f>Q26-Q32</f>
        <v/>
      </c>
      <c r="R36" s="15">
        <f>R26-R32</f>
        <v/>
      </c>
      <c r="S36" s="15">
        <f>S26-S32</f>
        <v/>
      </c>
      <c r="T36" s="15">
        <f>T26-T32</f>
        <v/>
      </c>
      <c r="U36" s="15">
        <f>U26-U32</f>
        <v/>
      </c>
      <c r="V36" s="15">
        <f>V26-V32</f>
        <v/>
      </c>
      <c r="W36" s="15">
        <f>W26-W32</f>
        <v/>
      </c>
      <c r="X36" s="15">
        <f>X26-X32</f>
        <v/>
      </c>
      <c r="Y36" s="15">
        <f>Y26-Y32</f>
        <v/>
      </c>
      <c r="Z36" s="15">
        <f>Z26-Z32</f>
        <v/>
      </c>
      <c r="AA36" s="15">
        <f>AA26-AA32</f>
        <v/>
      </c>
      <c r="AB36" s="15">
        <f>AB26-AB32</f>
        <v/>
      </c>
      <c r="AC36" s="15">
        <f>AC26-AC32</f>
        <v/>
      </c>
      <c r="AD36" s="15">
        <f>AD26-AD32</f>
        <v/>
      </c>
      <c r="AE36" s="15">
        <f>AE26-AE32</f>
        <v/>
      </c>
      <c r="AF36" s="15">
        <f>AF26-AF32</f>
        <v/>
      </c>
      <c r="AG36" s="15">
        <f>AG26-AG32</f>
        <v/>
      </c>
      <c r="AH36" s="15">
        <f>AH26-AH32</f>
        <v/>
      </c>
      <c r="AI36" s="15">
        <f>AI26-AI32</f>
        <v/>
      </c>
      <c r="AJ36" s="15">
        <f>AJ26-AJ32</f>
        <v/>
      </c>
      <c r="AK36" s="15">
        <f>AK26-AK32</f>
        <v/>
      </c>
      <c r="AL36" s="15">
        <f>AL26-AL32</f>
        <v/>
      </c>
      <c r="AM36" s="15">
        <f>AM26-AM32</f>
        <v/>
      </c>
      <c r="AN36" s="15">
        <f>AN26-AN32</f>
        <v/>
      </c>
      <c r="AO36" s="15">
        <f>AO26-AO32</f>
        <v/>
      </c>
      <c r="AP36" s="15">
        <f>AP26-AP32</f>
        <v/>
      </c>
      <c r="AQ36" s="15">
        <f>AQ26-AQ32</f>
        <v/>
      </c>
      <c r="AR36" s="15">
        <f>AR26-AR32</f>
        <v/>
      </c>
      <c r="AS36" s="15">
        <f>AS26-AS32</f>
        <v/>
      </c>
      <c r="AT36" s="15">
        <f>AT26-AT32</f>
        <v/>
      </c>
      <c r="AU36" s="15">
        <f>AU26-AU32</f>
        <v/>
      </c>
      <c r="AV36" s="15">
        <f>AV26-AV32</f>
        <v/>
      </c>
      <c r="AW36" s="15">
        <f>AW26-AW32</f>
        <v/>
      </c>
      <c r="AX36" s="15">
        <f>AX26-AX32</f>
        <v/>
      </c>
    </row>
    <row r="37">
      <c r="A37" t="inlineStr">
        <is>
          <t>Net variance (Actual − Target)</t>
        </is>
      </c>
      <c r="B37" s="5" t="inlineStr">
        <is>
          <t>$K · auto</t>
        </is>
      </c>
      <c r="C37" s="15">
        <f>C36-C35</f>
        <v/>
      </c>
      <c r="D37" s="15">
        <f>D36-D35</f>
        <v/>
      </c>
      <c r="E37" s="15">
        <f>E36-E35</f>
        <v/>
      </c>
      <c r="F37" s="15">
        <f>F36-F35</f>
        <v/>
      </c>
      <c r="G37" s="15">
        <f>G36-G35</f>
        <v/>
      </c>
      <c r="H37" s="15">
        <f>H36-H35</f>
        <v/>
      </c>
      <c r="I37" s="15">
        <f>I36-I35</f>
        <v/>
      </c>
      <c r="J37" s="15">
        <f>J36-J35</f>
        <v/>
      </c>
      <c r="K37" s="15">
        <f>K36-K35</f>
        <v/>
      </c>
      <c r="L37" s="15">
        <f>L36-L35</f>
        <v/>
      </c>
      <c r="M37" s="15">
        <f>M36-M35</f>
        <v/>
      </c>
      <c r="N37" s="15">
        <f>N36-N35</f>
        <v/>
      </c>
      <c r="O37" s="15">
        <f>O36-O35</f>
        <v/>
      </c>
      <c r="P37" s="15">
        <f>P36-P35</f>
        <v/>
      </c>
      <c r="Q37" s="15">
        <f>Q36-Q35</f>
        <v/>
      </c>
      <c r="R37" s="15">
        <f>R36-R35</f>
        <v/>
      </c>
      <c r="S37" s="15">
        <f>S36-S35</f>
        <v/>
      </c>
      <c r="T37" s="15">
        <f>T36-T35</f>
        <v/>
      </c>
      <c r="U37" s="15">
        <f>U36-U35</f>
        <v/>
      </c>
      <c r="V37" s="15">
        <f>V36-V35</f>
        <v/>
      </c>
      <c r="W37" s="15">
        <f>W36-W35</f>
        <v/>
      </c>
      <c r="X37" s="15">
        <f>X36-X35</f>
        <v/>
      </c>
      <c r="Y37" s="15">
        <f>Y36-Y35</f>
        <v/>
      </c>
      <c r="Z37" s="15">
        <f>Z36-Z35</f>
        <v/>
      </c>
      <c r="AA37" s="15">
        <f>AA36-AA35</f>
        <v/>
      </c>
      <c r="AB37" s="15">
        <f>AB36-AB35</f>
        <v/>
      </c>
      <c r="AC37" s="15">
        <f>AC36-AC35</f>
        <v/>
      </c>
      <c r="AD37" s="15">
        <f>AD36-AD35</f>
        <v/>
      </c>
      <c r="AE37" s="15">
        <f>AE36-AE35</f>
        <v/>
      </c>
      <c r="AF37" s="15">
        <f>AF36-AF35</f>
        <v/>
      </c>
      <c r="AG37" s="15">
        <f>AG36-AG35</f>
        <v/>
      </c>
      <c r="AH37" s="15">
        <f>AH36-AH35</f>
        <v/>
      </c>
      <c r="AI37" s="15">
        <f>AI36-AI35</f>
        <v/>
      </c>
      <c r="AJ37" s="15">
        <f>AJ36-AJ35</f>
        <v/>
      </c>
      <c r="AK37" s="15">
        <f>AK36-AK35</f>
        <v/>
      </c>
      <c r="AL37" s="15">
        <f>AL36-AL35</f>
        <v/>
      </c>
      <c r="AM37" s="15">
        <f>AM36-AM35</f>
        <v/>
      </c>
      <c r="AN37" s="15">
        <f>AN36-AN35</f>
        <v/>
      </c>
      <c r="AO37" s="15">
        <f>AO36-AO35</f>
        <v/>
      </c>
      <c r="AP37" s="15">
        <f>AP36-AP35</f>
        <v/>
      </c>
      <c r="AQ37" s="15">
        <f>AQ36-AQ35</f>
        <v/>
      </c>
      <c r="AR37" s="15">
        <f>AR36-AR35</f>
        <v/>
      </c>
      <c r="AS37" s="15">
        <f>AS36-AS35</f>
        <v/>
      </c>
      <c r="AT37" s="15">
        <f>AT36-AT35</f>
        <v/>
      </c>
      <c r="AU37" s="15">
        <f>AU36-AU35</f>
        <v/>
      </c>
      <c r="AV37" s="15">
        <f>AV36-AV35</f>
        <v/>
      </c>
      <c r="AW37" s="15">
        <f>AW36-AW35</f>
        <v/>
      </c>
      <c r="AX37" s="15">
        <f>AX36-AX35</f>
        <v/>
      </c>
    </row>
    <row r="38">
      <c r="A38" t="inlineStr">
        <is>
          <t>Cumulative net arbitrage — Target</t>
        </is>
      </c>
      <c r="B38" s="5" t="inlineStr">
        <is>
          <t>$K · auto</t>
        </is>
      </c>
      <c r="C38" s="15">
        <f>SUM($C35:C35)</f>
        <v/>
      </c>
      <c r="D38" s="15">
        <f>SUM($C35:D35)</f>
        <v/>
      </c>
      <c r="E38" s="15">
        <f>SUM($C35:E35)</f>
        <v/>
      </c>
      <c r="F38" s="15">
        <f>SUM($C35:F35)</f>
        <v/>
      </c>
      <c r="G38" s="15">
        <f>SUM($C35:G35)</f>
        <v/>
      </c>
      <c r="H38" s="15">
        <f>SUM($C35:H35)</f>
        <v/>
      </c>
      <c r="I38" s="15">
        <f>SUM($C35:I35)</f>
        <v/>
      </c>
      <c r="J38" s="15">
        <f>SUM($C35:J35)</f>
        <v/>
      </c>
      <c r="K38" s="15">
        <f>SUM($C35:K35)</f>
        <v/>
      </c>
      <c r="L38" s="15">
        <f>SUM($C35:L35)</f>
        <v/>
      </c>
      <c r="M38" s="15">
        <f>SUM($C35:M35)</f>
        <v/>
      </c>
      <c r="N38" s="15">
        <f>SUM($C35:N35)</f>
        <v/>
      </c>
      <c r="O38" s="15">
        <f>SUM($C35:O35)</f>
        <v/>
      </c>
      <c r="P38" s="15">
        <f>SUM($C35:P35)</f>
        <v/>
      </c>
      <c r="Q38" s="15">
        <f>SUM($C35:Q35)</f>
        <v/>
      </c>
      <c r="R38" s="15">
        <f>SUM($C35:R35)</f>
        <v/>
      </c>
      <c r="S38" s="15">
        <f>SUM($C35:S35)</f>
        <v/>
      </c>
      <c r="T38" s="15">
        <f>SUM($C35:T35)</f>
        <v/>
      </c>
      <c r="U38" s="15">
        <f>SUM($C35:U35)</f>
        <v/>
      </c>
      <c r="V38" s="15">
        <f>SUM($C35:V35)</f>
        <v/>
      </c>
      <c r="W38" s="15">
        <f>SUM($C35:W35)</f>
        <v/>
      </c>
      <c r="X38" s="15">
        <f>SUM($C35:X35)</f>
        <v/>
      </c>
      <c r="Y38" s="15">
        <f>SUM($C35:Y35)</f>
        <v/>
      </c>
      <c r="Z38" s="15">
        <f>SUM($C35:Z35)</f>
        <v/>
      </c>
      <c r="AA38" s="15">
        <f>SUM($C35:AA35)</f>
        <v/>
      </c>
      <c r="AB38" s="15">
        <f>SUM($C35:AB35)</f>
        <v/>
      </c>
      <c r="AC38" s="15">
        <f>SUM($C35:AC35)</f>
        <v/>
      </c>
      <c r="AD38" s="15">
        <f>SUM($C35:AD35)</f>
        <v/>
      </c>
      <c r="AE38" s="15">
        <f>SUM($C35:AE35)</f>
        <v/>
      </c>
      <c r="AF38" s="15">
        <f>SUM($C35:AF35)</f>
        <v/>
      </c>
      <c r="AG38" s="15">
        <f>SUM($C35:AG35)</f>
        <v/>
      </c>
      <c r="AH38" s="15">
        <f>SUM($C35:AH35)</f>
        <v/>
      </c>
      <c r="AI38" s="15">
        <f>SUM($C35:AI35)</f>
        <v/>
      </c>
      <c r="AJ38" s="15">
        <f>SUM($C35:AJ35)</f>
        <v/>
      </c>
      <c r="AK38" s="15">
        <f>SUM($C35:AK35)</f>
        <v/>
      </c>
      <c r="AL38" s="15">
        <f>SUM($C35:AL35)</f>
        <v/>
      </c>
      <c r="AM38" s="15">
        <f>SUM($C35:AM35)</f>
        <v/>
      </c>
      <c r="AN38" s="15">
        <f>SUM($C35:AN35)</f>
        <v/>
      </c>
      <c r="AO38" s="15">
        <f>SUM($C35:AO35)</f>
        <v/>
      </c>
      <c r="AP38" s="15">
        <f>SUM($C35:AP35)</f>
        <v/>
      </c>
      <c r="AQ38" s="15">
        <f>SUM($C35:AQ35)</f>
        <v/>
      </c>
      <c r="AR38" s="15">
        <f>SUM($C35:AR35)</f>
        <v/>
      </c>
      <c r="AS38" s="15">
        <f>SUM($C35:AS35)</f>
        <v/>
      </c>
      <c r="AT38" s="15">
        <f>SUM($C35:AT35)</f>
        <v/>
      </c>
      <c r="AU38" s="15">
        <f>SUM($C35:AU35)</f>
        <v/>
      </c>
      <c r="AV38" s="15">
        <f>SUM($C35:AV35)</f>
        <v/>
      </c>
      <c r="AW38" s="15">
        <f>SUM($C35:AW35)</f>
        <v/>
      </c>
      <c r="AX38" s="15">
        <f>SUM($C35:AX35)</f>
        <v/>
      </c>
    </row>
    <row r="39">
      <c r="A39" t="inlineStr">
        <is>
          <t>Cumulative net arbitrage — Actual</t>
        </is>
      </c>
      <c r="B39" s="5" t="inlineStr">
        <is>
          <t>$K · auto</t>
        </is>
      </c>
      <c r="C39" s="15">
        <f>SUM($C36:C36)</f>
        <v/>
      </c>
      <c r="D39" s="15">
        <f>SUM($C36:D36)</f>
        <v/>
      </c>
      <c r="E39" s="15">
        <f>SUM($C36:E36)</f>
        <v/>
      </c>
      <c r="F39" s="15">
        <f>SUM($C36:F36)</f>
        <v/>
      </c>
      <c r="G39" s="15">
        <f>SUM($C36:G36)</f>
        <v/>
      </c>
      <c r="H39" s="15">
        <f>SUM($C36:H36)</f>
        <v/>
      </c>
      <c r="I39" s="15">
        <f>SUM($C36:I36)</f>
        <v/>
      </c>
      <c r="J39" s="15">
        <f>SUM($C36:J36)</f>
        <v/>
      </c>
      <c r="K39" s="15">
        <f>SUM($C36:K36)</f>
        <v/>
      </c>
      <c r="L39" s="15">
        <f>SUM($C36:L36)</f>
        <v/>
      </c>
      <c r="M39" s="15">
        <f>SUM($C36:M36)</f>
        <v/>
      </c>
      <c r="N39" s="15">
        <f>SUM($C36:N36)</f>
        <v/>
      </c>
      <c r="O39" s="15">
        <f>SUM($C36:O36)</f>
        <v/>
      </c>
      <c r="P39" s="15">
        <f>SUM($C36:P36)</f>
        <v/>
      </c>
      <c r="Q39" s="15">
        <f>SUM($C36:Q36)</f>
        <v/>
      </c>
      <c r="R39" s="15">
        <f>SUM($C36:R36)</f>
        <v/>
      </c>
      <c r="S39" s="15">
        <f>SUM($C36:S36)</f>
        <v/>
      </c>
      <c r="T39" s="15">
        <f>SUM($C36:T36)</f>
        <v/>
      </c>
      <c r="U39" s="15">
        <f>SUM($C36:U36)</f>
        <v/>
      </c>
      <c r="V39" s="15">
        <f>SUM($C36:V36)</f>
        <v/>
      </c>
      <c r="W39" s="15">
        <f>SUM($C36:W36)</f>
        <v/>
      </c>
      <c r="X39" s="15">
        <f>SUM($C36:X36)</f>
        <v/>
      </c>
      <c r="Y39" s="15">
        <f>SUM($C36:Y36)</f>
        <v/>
      </c>
      <c r="Z39" s="15">
        <f>SUM($C36:Z36)</f>
        <v/>
      </c>
      <c r="AA39" s="15">
        <f>SUM($C36:AA36)</f>
        <v/>
      </c>
      <c r="AB39" s="15">
        <f>SUM($C36:AB36)</f>
        <v/>
      </c>
      <c r="AC39" s="15">
        <f>SUM($C36:AC36)</f>
        <v/>
      </c>
      <c r="AD39" s="15">
        <f>SUM($C36:AD36)</f>
        <v/>
      </c>
      <c r="AE39" s="15">
        <f>SUM($C36:AE36)</f>
        <v/>
      </c>
      <c r="AF39" s="15">
        <f>SUM($C36:AF36)</f>
        <v/>
      </c>
      <c r="AG39" s="15">
        <f>SUM($C36:AG36)</f>
        <v/>
      </c>
      <c r="AH39" s="15">
        <f>SUM($C36:AH36)</f>
        <v/>
      </c>
      <c r="AI39" s="15">
        <f>SUM($C36:AI36)</f>
        <v/>
      </c>
      <c r="AJ39" s="15">
        <f>SUM($C36:AJ36)</f>
        <v/>
      </c>
      <c r="AK39" s="15">
        <f>SUM($C36:AK36)</f>
        <v/>
      </c>
      <c r="AL39" s="15">
        <f>SUM($C36:AL36)</f>
        <v/>
      </c>
      <c r="AM39" s="15">
        <f>SUM($C36:AM36)</f>
        <v/>
      </c>
      <c r="AN39" s="15">
        <f>SUM($C36:AN36)</f>
        <v/>
      </c>
      <c r="AO39" s="15">
        <f>SUM($C36:AO36)</f>
        <v/>
      </c>
      <c r="AP39" s="15">
        <f>SUM($C36:AP36)</f>
        <v/>
      </c>
      <c r="AQ39" s="15">
        <f>SUM($C36:AQ36)</f>
        <v/>
      </c>
      <c r="AR39" s="15">
        <f>SUM($C36:AR36)</f>
        <v/>
      </c>
      <c r="AS39" s="15">
        <f>SUM($C36:AS36)</f>
        <v/>
      </c>
      <c r="AT39" s="15">
        <f>SUM($C36:AT36)</f>
        <v/>
      </c>
      <c r="AU39" s="15">
        <f>SUM($C36:AU36)</f>
        <v/>
      </c>
      <c r="AV39" s="15">
        <f>SUM($C36:AV36)</f>
        <v/>
      </c>
      <c r="AW39" s="15">
        <f>SUM($C36:AW36)</f>
        <v/>
      </c>
      <c r="AX39" s="15">
        <f>SUM($C36:AX36)</f>
        <v/>
      </c>
    </row>
    <row r="40">
      <c r="A40" s="11" t="inlineStr">
        <is>
          <t>E.  STATUS, ATTESTATION &amp; COMMENTARY</t>
        </is>
      </c>
      <c r="B40" s="16" t="inlineStr"/>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row>
    <row r="41">
      <c r="A41" t="inlineStr">
        <is>
          <t>Overall RAG status for month</t>
        </is>
      </c>
      <c r="B41" s="5" t="inlineStr">
        <is>
          <t>G/A/R · org input</t>
        </is>
      </c>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c r="AK41" s="26" t="n"/>
      <c r="AL41" s="26" t="n"/>
      <c r="AM41" s="26" t="n"/>
      <c r="AN41" s="26" t="n"/>
      <c r="AO41" s="26" t="n"/>
      <c r="AP41" s="26" t="n"/>
      <c r="AQ41" s="26" t="n"/>
      <c r="AR41" s="26" t="n"/>
      <c r="AS41" s="26" t="n"/>
      <c r="AT41" s="26" t="n"/>
      <c r="AU41" s="26" t="n"/>
      <c r="AV41" s="26" t="n"/>
      <c r="AW41" s="26" t="n"/>
      <c r="AX41" s="26" t="n"/>
    </row>
    <row r="42">
      <c r="A42" t="inlineStr">
        <is>
          <t>Attest: reductions free of leakage?</t>
        </is>
      </c>
      <c r="B42" s="5" t="inlineStr">
        <is>
          <t>Y/N · org input</t>
        </is>
      </c>
      <c r="C42" s="26" t="n"/>
      <c r="D42" s="26" t="n"/>
      <c r="E42" s="26"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c r="AD42" s="26" t="n"/>
      <c r="AE42" s="26" t="n"/>
      <c r="AF42" s="26" t="n"/>
      <c r="AG42" s="26" t="n"/>
      <c r="AH42" s="26" t="n"/>
      <c r="AI42" s="26" t="n"/>
      <c r="AJ42" s="26" t="n"/>
      <c r="AK42" s="26" t="n"/>
      <c r="AL42" s="26" t="n"/>
      <c r="AM42" s="26" t="n"/>
      <c r="AN42" s="26" t="n"/>
      <c r="AO42" s="26" t="n"/>
      <c r="AP42" s="26" t="n"/>
      <c r="AQ42" s="26" t="n"/>
      <c r="AR42" s="26" t="n"/>
      <c r="AS42" s="26" t="n"/>
      <c r="AT42" s="26" t="n"/>
      <c r="AU42" s="26" t="n"/>
      <c r="AV42" s="26" t="n"/>
      <c r="AW42" s="26" t="n"/>
      <c r="AX42" s="26" t="n"/>
    </row>
    <row r="43">
      <c r="A43" t="inlineStr">
        <is>
          <t>Attested by (org finance partner)</t>
        </is>
      </c>
      <c r="B43" s="5" t="inlineStr">
        <is>
          <t>name · org input</t>
        </is>
      </c>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c r="AD43" s="26" t="n"/>
      <c r="AE43" s="26" t="n"/>
      <c r="AF43" s="26" t="n"/>
      <c r="AG43" s="26" t="n"/>
      <c r="AH43" s="26" t="n"/>
      <c r="AI43" s="26" t="n"/>
      <c r="AJ43" s="26" t="n"/>
      <c r="AK43" s="26" t="n"/>
      <c r="AL43" s="26" t="n"/>
      <c r="AM43" s="26" t="n"/>
      <c r="AN43" s="26" t="n"/>
      <c r="AO43" s="26" t="n"/>
      <c r="AP43" s="26" t="n"/>
      <c r="AQ43" s="26" t="n"/>
      <c r="AR43" s="26" t="n"/>
      <c r="AS43" s="26" t="n"/>
      <c r="AT43" s="26" t="n"/>
      <c r="AU43" s="26" t="n"/>
      <c r="AV43" s="26" t="n"/>
      <c r="AW43" s="26" t="n"/>
      <c r="AX43" s="26" t="n"/>
    </row>
    <row r="44">
      <c r="A44" t="inlineStr">
        <is>
          <t>Commentary (required on material variance)</t>
        </is>
      </c>
      <c r="B44" s="5" t="inlineStr">
        <is>
          <t>text · org input</t>
        </is>
      </c>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c r="AD44" s="26" t="n"/>
      <c r="AE44" s="26" t="n"/>
      <c r="AF44" s="26" t="n"/>
      <c r="AG44" s="26" t="n"/>
      <c r="AH44" s="26" t="n"/>
      <c r="AI44" s="26" t="n"/>
      <c r="AJ44" s="26" t="n"/>
      <c r="AK44" s="26" t="n"/>
      <c r="AL44" s="26" t="n"/>
      <c r="AM44" s="26" t="n"/>
      <c r="AN44" s="26" t="n"/>
      <c r="AO44" s="26" t="n"/>
      <c r="AP44" s="26" t="n"/>
      <c r="AQ44" s="26" t="n"/>
      <c r="AR44" s="26" t="n"/>
      <c r="AS44" s="26" t="n"/>
      <c r="AT44" s="26" t="n"/>
      <c r="AU44" s="26" t="n"/>
      <c r="AV44" s="26" t="n"/>
      <c r="AW44" s="26" t="n"/>
      <c r="AX44" s="26" t="n"/>
    </row>
  </sheetData>
  <dataValidations count="2">
    <dataValidation sqref="C41:AX41" showDropDown="0" showInputMessage="0" showErrorMessage="0" allowBlank="1" type="list">
      <formula1>=Setup!$B$14:$B$16</formula1>
    </dataValidation>
    <dataValidation sqref="C42:AX42" showDropDown="0" showInputMessage="0" showErrorMessage="0" allowBlank="1" type="list">
      <formula1>=Setup!$B$18:$B$19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X4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6" customWidth="1" min="1" max="1"/>
    <col width="20"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10.5" customWidth="1" min="35" max="35"/>
    <col width="10.5" customWidth="1" min="36" max="36"/>
    <col width="10.5" customWidth="1" min="37" max="37"/>
    <col width="10.5" customWidth="1" min="38" max="38"/>
    <col width="10.5" customWidth="1" min="39" max="39"/>
    <col width="10.5" customWidth="1" min="40" max="40"/>
    <col width="10.5" customWidth="1" min="41" max="41"/>
    <col width="10.5" customWidth="1" min="42" max="42"/>
    <col width="10.5" customWidth="1" min="43" max="43"/>
    <col width="10.5" customWidth="1" min="44" max="44"/>
    <col width="10.5" customWidth="1" min="45" max="45"/>
    <col width="10.5" customWidth="1" min="46" max="46"/>
    <col width="10.5" customWidth="1" min="47" max="47"/>
    <col width="10.5" customWidth="1" min="48" max="48"/>
    <col width="10.5" customWidth="1" min="49" max="49"/>
    <col width="10.5" customWidth="1" min="50" max="50"/>
  </cols>
  <sheetData>
    <row r="1">
      <c r="A1" s="4">
        <f>CONCATENATE("ORG: ",Setup!$B$10)</f>
        <v/>
      </c>
    </row>
    <row r="2">
      <c r="A2" s="5" t="inlineStr">
        <is>
          <t>Enter BLUE cells only. GREEN = central fill. GREY = linked target (do not edit). See READ ME + Guiding Principles tabs.</t>
        </is>
      </c>
    </row>
    <row r="4">
      <c r="C4" s="8" t="n">
        <v>2026</v>
      </c>
      <c r="O4" s="8" t="n">
        <v>2027</v>
      </c>
      <c r="AA4" s="8" t="n">
        <v>2028</v>
      </c>
      <c r="AM4" s="8" t="n">
        <v>2029</v>
      </c>
    </row>
    <row r="5">
      <c r="A5" s="9" t="inlineStr">
        <is>
          <t>Metric</t>
        </is>
      </c>
      <c r="B5" s="9" t="inlineStr">
        <is>
          <t>Unit / who fills</t>
        </is>
      </c>
      <c r="C5" s="10" t="n">
        <v>46023</v>
      </c>
      <c r="D5" s="10" t="n">
        <v>46054</v>
      </c>
      <c r="E5" s="10" t="n">
        <v>46082</v>
      </c>
      <c r="F5" s="10" t="n">
        <v>46113</v>
      </c>
      <c r="G5" s="10" t="n">
        <v>46143</v>
      </c>
      <c r="H5" s="10" t="n">
        <v>46174</v>
      </c>
      <c r="I5" s="10" t="n">
        <v>46204</v>
      </c>
      <c r="J5" s="10" t="n">
        <v>46235</v>
      </c>
      <c r="K5" s="10" t="n">
        <v>46266</v>
      </c>
      <c r="L5" s="10" t="n">
        <v>46296</v>
      </c>
      <c r="M5" s="10" t="n">
        <v>46327</v>
      </c>
      <c r="N5" s="10" t="n">
        <v>46357</v>
      </c>
      <c r="O5" s="10" t="n">
        <v>46388</v>
      </c>
      <c r="P5" s="10" t="n">
        <v>46419</v>
      </c>
      <c r="Q5" s="10" t="n">
        <v>46447</v>
      </c>
      <c r="R5" s="10" t="n">
        <v>46478</v>
      </c>
      <c r="S5" s="10" t="n">
        <v>46508</v>
      </c>
      <c r="T5" s="10" t="n">
        <v>46539</v>
      </c>
      <c r="U5" s="10" t="n">
        <v>46569</v>
      </c>
      <c r="V5" s="10" t="n">
        <v>46600</v>
      </c>
      <c r="W5" s="10" t="n">
        <v>46631</v>
      </c>
      <c r="X5" s="10" t="n">
        <v>46661</v>
      </c>
      <c r="Y5" s="10" t="n">
        <v>46692</v>
      </c>
      <c r="Z5" s="10" t="n">
        <v>46722</v>
      </c>
      <c r="AA5" s="10" t="n">
        <v>46753</v>
      </c>
      <c r="AB5" s="10" t="n">
        <v>46784</v>
      </c>
      <c r="AC5" s="10" t="n">
        <v>46813</v>
      </c>
      <c r="AD5" s="10" t="n">
        <v>46844</v>
      </c>
      <c r="AE5" s="10" t="n">
        <v>46874</v>
      </c>
      <c r="AF5" s="10" t="n">
        <v>46905</v>
      </c>
      <c r="AG5" s="10" t="n">
        <v>46935</v>
      </c>
      <c r="AH5" s="10" t="n">
        <v>46966</v>
      </c>
      <c r="AI5" s="10" t="n">
        <v>46997</v>
      </c>
      <c r="AJ5" s="10" t="n">
        <v>47027</v>
      </c>
      <c r="AK5" s="10" t="n">
        <v>47058</v>
      </c>
      <c r="AL5" s="10" t="n">
        <v>47088</v>
      </c>
      <c r="AM5" s="10" t="n">
        <v>47119</v>
      </c>
      <c r="AN5" s="10" t="n">
        <v>47150</v>
      </c>
      <c r="AO5" s="10" t="n">
        <v>47178</v>
      </c>
      <c r="AP5" s="10" t="n">
        <v>47209</v>
      </c>
      <c r="AQ5" s="10" t="n">
        <v>47239</v>
      </c>
      <c r="AR5" s="10" t="n">
        <v>47270</v>
      </c>
      <c r="AS5" s="10" t="n">
        <v>47300</v>
      </c>
      <c r="AT5" s="10" t="n">
        <v>47331</v>
      </c>
      <c r="AU5" s="10" t="n">
        <v>47362</v>
      </c>
      <c r="AV5" s="10" t="n">
        <v>47392</v>
      </c>
      <c r="AW5" s="10" t="n">
        <v>47423</v>
      </c>
      <c r="AX5" s="10" t="n">
        <v>47453</v>
      </c>
    </row>
    <row r="6">
      <c r="A6" s="11" t="inlineStr">
        <is>
          <t>A.  INDIA HIRING</t>
        </is>
      </c>
      <c r="B6" s="16" t="inlineStr"/>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row>
    <row r="7">
      <c r="A7" t="inlineStr">
        <is>
          <t>India hires — Target</t>
        </is>
      </c>
      <c r="B7" s="5" t="inlineStr">
        <is>
          <t>heads · linked</t>
        </is>
      </c>
      <c r="C7" s="17">
        <f>Targets!C62</f>
        <v/>
      </c>
      <c r="D7" s="17">
        <f>Targets!D62</f>
        <v/>
      </c>
      <c r="E7" s="17">
        <f>Targets!E62</f>
        <v/>
      </c>
      <c r="F7" s="17">
        <f>Targets!F62</f>
        <v/>
      </c>
      <c r="G7" s="17">
        <f>Targets!G62</f>
        <v/>
      </c>
      <c r="H7" s="17">
        <f>Targets!H62</f>
        <v/>
      </c>
      <c r="I7" s="17">
        <f>Targets!I62</f>
        <v/>
      </c>
      <c r="J7" s="17">
        <f>Targets!J62</f>
        <v/>
      </c>
      <c r="K7" s="17">
        <f>Targets!K62</f>
        <v/>
      </c>
      <c r="L7" s="17">
        <f>Targets!L62</f>
        <v/>
      </c>
      <c r="M7" s="17">
        <f>Targets!M62</f>
        <v/>
      </c>
      <c r="N7" s="17">
        <f>Targets!N62</f>
        <v/>
      </c>
      <c r="O7" s="17">
        <f>Targets!O62</f>
        <v/>
      </c>
      <c r="P7" s="17">
        <f>Targets!P62</f>
        <v/>
      </c>
      <c r="Q7" s="17">
        <f>Targets!Q62</f>
        <v/>
      </c>
      <c r="R7" s="17">
        <f>Targets!R62</f>
        <v/>
      </c>
      <c r="S7" s="17">
        <f>Targets!S62</f>
        <v/>
      </c>
      <c r="T7" s="17">
        <f>Targets!T62</f>
        <v/>
      </c>
      <c r="U7" s="17">
        <f>Targets!U62</f>
        <v/>
      </c>
      <c r="V7" s="17">
        <f>Targets!V62</f>
        <v/>
      </c>
      <c r="W7" s="17">
        <f>Targets!W62</f>
        <v/>
      </c>
      <c r="X7" s="17">
        <f>Targets!X62</f>
        <v/>
      </c>
      <c r="Y7" s="17">
        <f>Targets!Y62</f>
        <v/>
      </c>
      <c r="Z7" s="17">
        <f>Targets!Z62</f>
        <v/>
      </c>
      <c r="AA7" s="17">
        <f>Targets!AA62</f>
        <v/>
      </c>
      <c r="AB7" s="17">
        <f>Targets!AB62</f>
        <v/>
      </c>
      <c r="AC7" s="17">
        <f>Targets!AC62</f>
        <v/>
      </c>
      <c r="AD7" s="17">
        <f>Targets!AD62</f>
        <v/>
      </c>
      <c r="AE7" s="17">
        <f>Targets!AE62</f>
        <v/>
      </c>
      <c r="AF7" s="17">
        <f>Targets!AF62</f>
        <v/>
      </c>
      <c r="AG7" s="17">
        <f>Targets!AG62</f>
        <v/>
      </c>
      <c r="AH7" s="17">
        <f>Targets!AH62</f>
        <v/>
      </c>
      <c r="AI7" s="17">
        <f>Targets!AI62</f>
        <v/>
      </c>
      <c r="AJ7" s="17">
        <f>Targets!AJ62</f>
        <v/>
      </c>
      <c r="AK7" s="17">
        <f>Targets!AK62</f>
        <v/>
      </c>
      <c r="AL7" s="17">
        <f>Targets!AL62</f>
        <v/>
      </c>
      <c r="AM7" s="17">
        <f>Targets!AM62</f>
        <v/>
      </c>
      <c r="AN7" s="17">
        <f>Targets!AN62</f>
        <v/>
      </c>
      <c r="AO7" s="17">
        <f>Targets!AO62</f>
        <v/>
      </c>
      <c r="AP7" s="17">
        <f>Targets!AP62</f>
        <v/>
      </c>
      <c r="AQ7" s="17">
        <f>Targets!AQ62</f>
        <v/>
      </c>
      <c r="AR7" s="17">
        <f>Targets!AR62</f>
        <v/>
      </c>
      <c r="AS7" s="17">
        <f>Targets!AS62</f>
        <v/>
      </c>
      <c r="AT7" s="17">
        <f>Targets!AT62</f>
        <v/>
      </c>
      <c r="AU7" s="17">
        <f>Targets!AU62</f>
        <v/>
      </c>
      <c r="AV7" s="17">
        <f>Targets!AV62</f>
        <v/>
      </c>
      <c r="AW7" s="17">
        <f>Targets!AW62</f>
        <v/>
      </c>
      <c r="AX7" s="17">
        <f>Targets!AX62</f>
        <v/>
      </c>
    </row>
    <row r="8">
      <c r="A8" t="inlineStr">
        <is>
          <t>India hires — Actual</t>
        </is>
      </c>
      <c r="B8" s="5" t="inlineStr">
        <is>
          <t>heads · central (PlanIt)</t>
        </is>
      </c>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row>
    <row r="9">
      <c r="A9" t="inlineStr">
        <is>
          <t>Cumulative hires — Target</t>
        </is>
      </c>
      <c r="B9" s="5" t="inlineStr">
        <is>
          <t>heads · auto</t>
        </is>
      </c>
      <c r="C9" s="19">
        <f>SUM($C7:C7)</f>
        <v/>
      </c>
      <c r="D9" s="19">
        <f>SUM($C7:D7)</f>
        <v/>
      </c>
      <c r="E9" s="19">
        <f>SUM($C7:E7)</f>
        <v/>
      </c>
      <c r="F9" s="19">
        <f>SUM($C7:F7)</f>
        <v/>
      </c>
      <c r="G9" s="19">
        <f>SUM($C7:G7)</f>
        <v/>
      </c>
      <c r="H9" s="19">
        <f>SUM($C7:H7)</f>
        <v/>
      </c>
      <c r="I9" s="19">
        <f>SUM($C7:I7)</f>
        <v/>
      </c>
      <c r="J9" s="19">
        <f>SUM($C7:J7)</f>
        <v/>
      </c>
      <c r="K9" s="19">
        <f>SUM($C7:K7)</f>
        <v/>
      </c>
      <c r="L9" s="19">
        <f>SUM($C7:L7)</f>
        <v/>
      </c>
      <c r="M9" s="19">
        <f>SUM($C7:M7)</f>
        <v/>
      </c>
      <c r="N9" s="19">
        <f>SUM($C7:N7)</f>
        <v/>
      </c>
      <c r="O9" s="19">
        <f>SUM($C7:O7)</f>
        <v/>
      </c>
      <c r="P9" s="19">
        <f>SUM($C7:P7)</f>
        <v/>
      </c>
      <c r="Q9" s="19">
        <f>SUM($C7:Q7)</f>
        <v/>
      </c>
      <c r="R9" s="19">
        <f>SUM($C7:R7)</f>
        <v/>
      </c>
      <c r="S9" s="19">
        <f>SUM($C7:S7)</f>
        <v/>
      </c>
      <c r="T9" s="19">
        <f>SUM($C7:T7)</f>
        <v/>
      </c>
      <c r="U9" s="19">
        <f>SUM($C7:U7)</f>
        <v/>
      </c>
      <c r="V9" s="19">
        <f>SUM($C7:V7)</f>
        <v/>
      </c>
      <c r="W9" s="19">
        <f>SUM($C7:W7)</f>
        <v/>
      </c>
      <c r="X9" s="19">
        <f>SUM($C7:X7)</f>
        <v/>
      </c>
      <c r="Y9" s="19">
        <f>SUM($C7:Y7)</f>
        <v/>
      </c>
      <c r="Z9" s="19">
        <f>SUM($C7:Z7)</f>
        <v/>
      </c>
      <c r="AA9" s="19">
        <f>SUM($C7:AA7)</f>
        <v/>
      </c>
      <c r="AB9" s="19">
        <f>SUM($C7:AB7)</f>
        <v/>
      </c>
      <c r="AC9" s="19">
        <f>SUM($C7:AC7)</f>
        <v/>
      </c>
      <c r="AD9" s="19">
        <f>SUM($C7:AD7)</f>
        <v/>
      </c>
      <c r="AE9" s="19">
        <f>SUM($C7:AE7)</f>
        <v/>
      </c>
      <c r="AF9" s="19">
        <f>SUM($C7:AF7)</f>
        <v/>
      </c>
      <c r="AG9" s="19">
        <f>SUM($C7:AG7)</f>
        <v/>
      </c>
      <c r="AH9" s="19">
        <f>SUM($C7:AH7)</f>
        <v/>
      </c>
      <c r="AI9" s="19">
        <f>SUM($C7:AI7)</f>
        <v/>
      </c>
      <c r="AJ9" s="19">
        <f>SUM($C7:AJ7)</f>
        <v/>
      </c>
      <c r="AK9" s="19">
        <f>SUM($C7:AK7)</f>
        <v/>
      </c>
      <c r="AL9" s="19">
        <f>SUM($C7:AL7)</f>
        <v/>
      </c>
      <c r="AM9" s="19">
        <f>SUM($C7:AM7)</f>
        <v/>
      </c>
      <c r="AN9" s="19">
        <f>SUM($C7:AN7)</f>
        <v/>
      </c>
      <c r="AO9" s="19">
        <f>SUM($C7:AO7)</f>
        <v/>
      </c>
      <c r="AP9" s="19">
        <f>SUM($C7:AP7)</f>
        <v/>
      </c>
      <c r="AQ9" s="19">
        <f>SUM($C7:AQ7)</f>
        <v/>
      </c>
      <c r="AR9" s="19">
        <f>SUM($C7:AR7)</f>
        <v/>
      </c>
      <c r="AS9" s="19">
        <f>SUM($C7:AS7)</f>
        <v/>
      </c>
      <c r="AT9" s="19">
        <f>SUM($C7:AT7)</f>
        <v/>
      </c>
      <c r="AU9" s="19">
        <f>SUM($C7:AU7)</f>
        <v/>
      </c>
      <c r="AV9" s="19">
        <f>SUM($C7:AV7)</f>
        <v/>
      </c>
      <c r="AW9" s="19">
        <f>SUM($C7:AW7)</f>
        <v/>
      </c>
      <c r="AX9" s="19">
        <f>SUM($C7:AX7)</f>
        <v/>
      </c>
    </row>
    <row r="10">
      <c r="A10" t="inlineStr">
        <is>
          <t>Cumulative hires — Actual</t>
        </is>
      </c>
      <c r="B10" s="5" t="inlineStr">
        <is>
          <t>heads · auto</t>
        </is>
      </c>
      <c r="C10" s="19">
        <f>SUM($C8:C8)</f>
        <v/>
      </c>
      <c r="D10" s="19">
        <f>SUM($C8:D8)</f>
        <v/>
      </c>
      <c r="E10" s="19">
        <f>SUM($C8:E8)</f>
        <v/>
      </c>
      <c r="F10" s="19">
        <f>SUM($C8:F8)</f>
        <v/>
      </c>
      <c r="G10" s="19">
        <f>SUM($C8:G8)</f>
        <v/>
      </c>
      <c r="H10" s="19">
        <f>SUM($C8:H8)</f>
        <v/>
      </c>
      <c r="I10" s="19">
        <f>SUM($C8:I8)</f>
        <v/>
      </c>
      <c r="J10" s="19">
        <f>SUM($C8:J8)</f>
        <v/>
      </c>
      <c r="K10" s="19">
        <f>SUM($C8:K8)</f>
        <v/>
      </c>
      <c r="L10" s="19">
        <f>SUM($C8:L8)</f>
        <v/>
      </c>
      <c r="M10" s="19">
        <f>SUM($C8:M8)</f>
        <v/>
      </c>
      <c r="N10" s="19">
        <f>SUM($C8:N8)</f>
        <v/>
      </c>
      <c r="O10" s="19">
        <f>SUM($C8:O8)</f>
        <v/>
      </c>
      <c r="P10" s="19">
        <f>SUM($C8:P8)</f>
        <v/>
      </c>
      <c r="Q10" s="19">
        <f>SUM($C8:Q8)</f>
        <v/>
      </c>
      <c r="R10" s="19">
        <f>SUM($C8:R8)</f>
        <v/>
      </c>
      <c r="S10" s="19">
        <f>SUM($C8:S8)</f>
        <v/>
      </c>
      <c r="T10" s="19">
        <f>SUM($C8:T8)</f>
        <v/>
      </c>
      <c r="U10" s="19">
        <f>SUM($C8:U8)</f>
        <v/>
      </c>
      <c r="V10" s="19">
        <f>SUM($C8:V8)</f>
        <v/>
      </c>
      <c r="W10" s="19">
        <f>SUM($C8:W8)</f>
        <v/>
      </c>
      <c r="X10" s="19">
        <f>SUM($C8:X8)</f>
        <v/>
      </c>
      <c r="Y10" s="19">
        <f>SUM($C8:Y8)</f>
        <v/>
      </c>
      <c r="Z10" s="19">
        <f>SUM($C8:Z8)</f>
        <v/>
      </c>
      <c r="AA10" s="19">
        <f>SUM($C8:AA8)</f>
        <v/>
      </c>
      <c r="AB10" s="19">
        <f>SUM($C8:AB8)</f>
        <v/>
      </c>
      <c r="AC10" s="19">
        <f>SUM($C8:AC8)</f>
        <v/>
      </c>
      <c r="AD10" s="19">
        <f>SUM($C8:AD8)</f>
        <v/>
      </c>
      <c r="AE10" s="19">
        <f>SUM($C8:AE8)</f>
        <v/>
      </c>
      <c r="AF10" s="19">
        <f>SUM($C8:AF8)</f>
        <v/>
      </c>
      <c r="AG10" s="19">
        <f>SUM($C8:AG8)</f>
        <v/>
      </c>
      <c r="AH10" s="19">
        <f>SUM($C8:AH8)</f>
        <v/>
      </c>
      <c r="AI10" s="19">
        <f>SUM($C8:AI8)</f>
        <v/>
      </c>
      <c r="AJ10" s="19">
        <f>SUM($C8:AJ8)</f>
        <v/>
      </c>
      <c r="AK10" s="19">
        <f>SUM($C8:AK8)</f>
        <v/>
      </c>
      <c r="AL10" s="19">
        <f>SUM($C8:AL8)</f>
        <v/>
      </c>
      <c r="AM10" s="19">
        <f>SUM($C8:AM8)</f>
        <v/>
      </c>
      <c r="AN10" s="19">
        <f>SUM($C8:AN8)</f>
        <v/>
      </c>
      <c r="AO10" s="19">
        <f>SUM($C8:AO8)</f>
        <v/>
      </c>
      <c r="AP10" s="19">
        <f>SUM($C8:AP8)</f>
        <v/>
      </c>
      <c r="AQ10" s="19">
        <f>SUM($C8:AQ8)</f>
        <v/>
      </c>
      <c r="AR10" s="19">
        <f>SUM($C8:AR8)</f>
        <v/>
      </c>
      <c r="AS10" s="19">
        <f>SUM($C8:AS8)</f>
        <v/>
      </c>
      <c r="AT10" s="19">
        <f>SUM($C8:AT8)</f>
        <v/>
      </c>
      <c r="AU10" s="19">
        <f>SUM($C8:AU8)</f>
        <v/>
      </c>
      <c r="AV10" s="19">
        <f>SUM($C8:AV8)</f>
        <v/>
      </c>
      <c r="AW10" s="19">
        <f>SUM($C8:AW8)</f>
        <v/>
      </c>
      <c r="AX10" s="19">
        <f>SUM($C8:AX8)</f>
        <v/>
      </c>
    </row>
    <row r="11">
      <c r="A11" t="inlineStr">
        <is>
          <t>Hires variance (Actual − Target), cumulative</t>
        </is>
      </c>
      <c r="B11" s="5" t="inlineStr">
        <is>
          <t>heads · auto</t>
        </is>
      </c>
      <c r="C11" s="19">
        <f>C10-C9</f>
        <v/>
      </c>
      <c r="D11" s="19">
        <f>D10-D9</f>
        <v/>
      </c>
      <c r="E11" s="19">
        <f>E10-E9</f>
        <v/>
      </c>
      <c r="F11" s="19">
        <f>F10-F9</f>
        <v/>
      </c>
      <c r="G11" s="19">
        <f>G10-G9</f>
        <v/>
      </c>
      <c r="H11" s="19">
        <f>H10-H9</f>
        <v/>
      </c>
      <c r="I11" s="19">
        <f>I10-I9</f>
        <v/>
      </c>
      <c r="J11" s="19">
        <f>J10-J9</f>
        <v/>
      </c>
      <c r="K11" s="19">
        <f>K10-K9</f>
        <v/>
      </c>
      <c r="L11" s="19">
        <f>L10-L9</f>
        <v/>
      </c>
      <c r="M11" s="19">
        <f>M10-M9</f>
        <v/>
      </c>
      <c r="N11" s="19">
        <f>N10-N9</f>
        <v/>
      </c>
      <c r="O11" s="19">
        <f>O10-O9</f>
        <v/>
      </c>
      <c r="P11" s="19">
        <f>P10-P9</f>
        <v/>
      </c>
      <c r="Q11" s="19">
        <f>Q10-Q9</f>
        <v/>
      </c>
      <c r="R11" s="19">
        <f>R10-R9</f>
        <v/>
      </c>
      <c r="S11" s="19">
        <f>S10-S9</f>
        <v/>
      </c>
      <c r="T11" s="19">
        <f>T10-T9</f>
        <v/>
      </c>
      <c r="U11" s="19">
        <f>U10-U9</f>
        <v/>
      </c>
      <c r="V11" s="19">
        <f>V10-V9</f>
        <v/>
      </c>
      <c r="W11" s="19">
        <f>W10-W9</f>
        <v/>
      </c>
      <c r="X11" s="19">
        <f>X10-X9</f>
        <v/>
      </c>
      <c r="Y11" s="19">
        <f>Y10-Y9</f>
        <v/>
      </c>
      <c r="Z11" s="19">
        <f>Z10-Z9</f>
        <v/>
      </c>
      <c r="AA11" s="19">
        <f>AA10-AA9</f>
        <v/>
      </c>
      <c r="AB11" s="19">
        <f>AB10-AB9</f>
        <v/>
      </c>
      <c r="AC11" s="19">
        <f>AC10-AC9</f>
        <v/>
      </c>
      <c r="AD11" s="19">
        <f>AD10-AD9</f>
        <v/>
      </c>
      <c r="AE11" s="19">
        <f>AE10-AE9</f>
        <v/>
      </c>
      <c r="AF11" s="19">
        <f>AF10-AF9</f>
        <v/>
      </c>
      <c r="AG11" s="19">
        <f>AG10-AG9</f>
        <v/>
      </c>
      <c r="AH11" s="19">
        <f>AH10-AH9</f>
        <v/>
      </c>
      <c r="AI11" s="19">
        <f>AI10-AI9</f>
        <v/>
      </c>
      <c r="AJ11" s="19">
        <f>AJ10-AJ9</f>
        <v/>
      </c>
      <c r="AK11" s="19">
        <f>AK10-AK9</f>
        <v/>
      </c>
      <c r="AL11" s="19">
        <f>AL10-AL9</f>
        <v/>
      </c>
      <c r="AM11" s="19">
        <f>AM10-AM9</f>
        <v/>
      </c>
      <c r="AN11" s="19">
        <f>AN10-AN9</f>
        <v/>
      </c>
      <c r="AO11" s="19">
        <f>AO10-AO9</f>
        <v/>
      </c>
      <c r="AP11" s="19">
        <f>AP10-AP9</f>
        <v/>
      </c>
      <c r="AQ11" s="19">
        <f>AQ10-AQ9</f>
        <v/>
      </c>
      <c r="AR11" s="19">
        <f>AR10-AR9</f>
        <v/>
      </c>
      <c r="AS11" s="19">
        <f>AS10-AS9</f>
        <v/>
      </c>
      <c r="AT11" s="19">
        <f>AT10-AT9</f>
        <v/>
      </c>
      <c r="AU11" s="19">
        <f>AU10-AU9</f>
        <v/>
      </c>
      <c r="AV11" s="19">
        <f>AV10-AV9</f>
        <v/>
      </c>
      <c r="AW11" s="19">
        <f>AW10-AW9</f>
        <v/>
      </c>
      <c r="AX11" s="19">
        <f>AX10-AX9</f>
        <v/>
      </c>
    </row>
    <row r="12">
      <c r="A12" t="inlineStr">
        <is>
          <t>Avg India loaded comp — Plan</t>
        </is>
      </c>
      <c r="B12" s="5" t="inlineStr">
        <is>
          <t>$K/yr · central (PlanIt)</t>
        </is>
      </c>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20" t="n"/>
      <c r="AD12" s="20" t="n"/>
      <c r="AE12" s="20" t="n"/>
      <c r="AF12" s="20" t="n"/>
      <c r="AG12" s="20" t="n"/>
      <c r="AH12" s="20" t="n"/>
      <c r="AI12" s="20" t="n"/>
      <c r="AJ12" s="20" t="n"/>
      <c r="AK12" s="20" t="n"/>
      <c r="AL12" s="20" t="n"/>
      <c r="AM12" s="20" t="n"/>
      <c r="AN12" s="20" t="n"/>
      <c r="AO12" s="20" t="n"/>
      <c r="AP12" s="20" t="n"/>
      <c r="AQ12" s="20" t="n"/>
      <c r="AR12" s="20" t="n"/>
      <c r="AS12" s="20" t="n"/>
      <c r="AT12" s="20" t="n"/>
      <c r="AU12" s="20" t="n"/>
      <c r="AV12" s="20" t="n"/>
      <c r="AW12" s="20" t="n"/>
      <c r="AX12" s="20" t="n"/>
    </row>
    <row r="13">
      <c r="A13" t="inlineStr">
        <is>
          <t>Avg India loaded comp — Actual</t>
        </is>
      </c>
      <c r="B13" s="5" t="inlineStr">
        <is>
          <t>$K/yr · central (PlanIt)</t>
        </is>
      </c>
      <c r="C13" s="20"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c r="AA13" s="20" t="n"/>
      <c r="AB13" s="20" t="n"/>
      <c r="AC13" s="20" t="n"/>
      <c r="AD13" s="20" t="n"/>
      <c r="AE13" s="20" t="n"/>
      <c r="AF13" s="20" t="n"/>
      <c r="AG13" s="20" t="n"/>
      <c r="AH13" s="20" t="n"/>
      <c r="AI13" s="20" t="n"/>
      <c r="AJ13" s="20" t="n"/>
      <c r="AK13" s="20" t="n"/>
      <c r="AL13" s="20" t="n"/>
      <c r="AM13" s="20" t="n"/>
      <c r="AN13" s="20" t="n"/>
      <c r="AO13" s="20" t="n"/>
      <c r="AP13" s="20" t="n"/>
      <c r="AQ13" s="20" t="n"/>
      <c r="AR13" s="20" t="n"/>
      <c r="AS13" s="20" t="n"/>
      <c r="AT13" s="20" t="n"/>
      <c r="AU13" s="20" t="n"/>
      <c r="AV13" s="20" t="n"/>
      <c r="AW13" s="20" t="n"/>
      <c r="AX13" s="20" t="n"/>
    </row>
    <row r="14">
      <c r="A14" t="inlineStr">
        <is>
          <t>India attrition in month</t>
        </is>
      </c>
      <c r="B14" s="5" t="inlineStr">
        <is>
          <t>heads · central (HR)</t>
        </is>
      </c>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c r="AA14" s="18" t="n"/>
      <c r="AB14" s="18" t="n"/>
      <c r="AC14" s="18" t="n"/>
      <c r="AD14" s="18" t="n"/>
      <c r="AE14" s="18" t="n"/>
      <c r="AF14" s="18" t="n"/>
      <c r="AG14" s="18" t="n"/>
      <c r="AH14" s="18" t="n"/>
      <c r="AI14" s="18" t="n"/>
      <c r="AJ14" s="18" t="n"/>
      <c r="AK14" s="18" t="n"/>
      <c r="AL14" s="18" t="n"/>
      <c r="AM14" s="18" t="n"/>
      <c r="AN14" s="18" t="n"/>
      <c r="AO14" s="18" t="n"/>
      <c r="AP14" s="18" t="n"/>
      <c r="AQ14" s="18" t="n"/>
      <c r="AR14" s="18" t="n"/>
      <c r="AS14" s="18" t="n"/>
      <c r="AT14" s="18" t="n"/>
      <c r="AU14" s="18" t="n"/>
      <c r="AV14" s="18" t="n"/>
      <c r="AW14" s="18" t="n"/>
      <c r="AX14" s="18" t="n"/>
    </row>
    <row r="15">
      <c r="A15" t="inlineStr">
        <is>
          <t>% of India hires fully productive</t>
        </is>
      </c>
      <c r="B15" s="5" t="inlineStr">
        <is>
          <t>% · org input</t>
        </is>
      </c>
      <c r="C15" s="21" t="n"/>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c r="AA15" s="21" t="n"/>
      <c r="AB15" s="21" t="n"/>
      <c r="AC15" s="21" t="n"/>
      <c r="AD15" s="21" t="n"/>
      <c r="AE15" s="21" t="n"/>
      <c r="AF15" s="21" t="n"/>
      <c r="AG15" s="21" t="n"/>
      <c r="AH15" s="21" t="n"/>
      <c r="AI15" s="21" t="n"/>
      <c r="AJ15" s="21" t="n"/>
      <c r="AK15" s="21" t="n"/>
      <c r="AL15" s="21" t="n"/>
      <c r="AM15" s="21" t="n"/>
      <c r="AN15" s="21" t="n"/>
      <c r="AO15" s="21" t="n"/>
      <c r="AP15" s="21" t="n"/>
      <c r="AQ15" s="21" t="n"/>
      <c r="AR15" s="21" t="n"/>
      <c r="AS15" s="21" t="n"/>
      <c r="AT15" s="21" t="n"/>
      <c r="AU15" s="21" t="n"/>
      <c r="AV15" s="21" t="n"/>
      <c r="AW15" s="21" t="n"/>
      <c r="AX15" s="21" t="n"/>
    </row>
    <row r="16">
      <c r="A16" s="11" t="inlineStr">
        <is>
          <t>B.  GROSS REDUCTIONS REALIZED IN PERIOD</t>
        </is>
      </c>
      <c r="B16" s="16" t="inlineStr"/>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row>
    <row r="17">
      <c r="A17" t="inlineStr">
        <is>
          <t>Professional services — Target</t>
        </is>
      </c>
      <c r="B17" s="5" t="inlineStr">
        <is>
          <t>$K · linked</t>
        </is>
      </c>
      <c r="C17" s="22">
        <f>Targets!C63</f>
        <v/>
      </c>
      <c r="D17" s="22">
        <f>Targets!D63</f>
        <v/>
      </c>
      <c r="E17" s="22">
        <f>Targets!E63</f>
        <v/>
      </c>
      <c r="F17" s="22">
        <f>Targets!F63</f>
        <v/>
      </c>
      <c r="G17" s="22">
        <f>Targets!G63</f>
        <v/>
      </c>
      <c r="H17" s="22">
        <f>Targets!H63</f>
        <v/>
      </c>
      <c r="I17" s="22">
        <f>Targets!I63</f>
        <v/>
      </c>
      <c r="J17" s="22">
        <f>Targets!J63</f>
        <v/>
      </c>
      <c r="K17" s="22">
        <f>Targets!K63</f>
        <v/>
      </c>
      <c r="L17" s="22">
        <f>Targets!L63</f>
        <v/>
      </c>
      <c r="M17" s="22">
        <f>Targets!M63</f>
        <v/>
      </c>
      <c r="N17" s="22">
        <f>Targets!N63</f>
        <v/>
      </c>
      <c r="O17" s="22">
        <f>Targets!O63</f>
        <v/>
      </c>
      <c r="P17" s="22">
        <f>Targets!P63</f>
        <v/>
      </c>
      <c r="Q17" s="22">
        <f>Targets!Q63</f>
        <v/>
      </c>
      <c r="R17" s="22">
        <f>Targets!R63</f>
        <v/>
      </c>
      <c r="S17" s="22">
        <f>Targets!S63</f>
        <v/>
      </c>
      <c r="T17" s="22">
        <f>Targets!T63</f>
        <v/>
      </c>
      <c r="U17" s="22">
        <f>Targets!U63</f>
        <v/>
      </c>
      <c r="V17" s="22">
        <f>Targets!V63</f>
        <v/>
      </c>
      <c r="W17" s="22">
        <f>Targets!W63</f>
        <v/>
      </c>
      <c r="X17" s="22">
        <f>Targets!X63</f>
        <v/>
      </c>
      <c r="Y17" s="22">
        <f>Targets!Y63</f>
        <v/>
      </c>
      <c r="Z17" s="22">
        <f>Targets!Z63</f>
        <v/>
      </c>
      <c r="AA17" s="22">
        <f>Targets!AA63</f>
        <v/>
      </c>
      <c r="AB17" s="22">
        <f>Targets!AB63</f>
        <v/>
      </c>
      <c r="AC17" s="22">
        <f>Targets!AC63</f>
        <v/>
      </c>
      <c r="AD17" s="22">
        <f>Targets!AD63</f>
        <v/>
      </c>
      <c r="AE17" s="22">
        <f>Targets!AE63</f>
        <v/>
      </c>
      <c r="AF17" s="22">
        <f>Targets!AF63</f>
        <v/>
      </c>
      <c r="AG17" s="22">
        <f>Targets!AG63</f>
        <v/>
      </c>
      <c r="AH17" s="22">
        <f>Targets!AH63</f>
        <v/>
      </c>
      <c r="AI17" s="22">
        <f>Targets!AI63</f>
        <v/>
      </c>
      <c r="AJ17" s="22">
        <f>Targets!AJ63</f>
        <v/>
      </c>
      <c r="AK17" s="22">
        <f>Targets!AK63</f>
        <v/>
      </c>
      <c r="AL17" s="22">
        <f>Targets!AL63</f>
        <v/>
      </c>
      <c r="AM17" s="22">
        <f>Targets!AM63</f>
        <v/>
      </c>
      <c r="AN17" s="22">
        <f>Targets!AN63</f>
        <v/>
      </c>
      <c r="AO17" s="22">
        <f>Targets!AO63</f>
        <v/>
      </c>
      <c r="AP17" s="22">
        <f>Targets!AP63</f>
        <v/>
      </c>
      <c r="AQ17" s="22">
        <f>Targets!AQ63</f>
        <v/>
      </c>
      <c r="AR17" s="22">
        <f>Targets!AR63</f>
        <v/>
      </c>
      <c r="AS17" s="22">
        <f>Targets!AS63</f>
        <v/>
      </c>
      <c r="AT17" s="22">
        <f>Targets!AT63</f>
        <v/>
      </c>
      <c r="AU17" s="22">
        <f>Targets!AU63</f>
        <v/>
      </c>
      <c r="AV17" s="22">
        <f>Targets!AV63</f>
        <v/>
      </c>
      <c r="AW17" s="22">
        <f>Targets!AW63</f>
        <v/>
      </c>
      <c r="AX17" s="22">
        <f>Targets!AX63</f>
        <v/>
      </c>
    </row>
    <row r="18">
      <c r="A18" t="inlineStr">
        <is>
          <t>Professional services — Actual</t>
        </is>
      </c>
      <c r="B18" s="5" t="inlineStr">
        <is>
          <t>$K · org input</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row>
    <row r="19">
      <c r="A19" t="inlineStr">
        <is>
          <t>Offshore contractors — Target</t>
        </is>
      </c>
      <c r="B19" s="5" t="inlineStr">
        <is>
          <t>$K · linked</t>
        </is>
      </c>
      <c r="C19" s="22">
        <f>Targets!C64</f>
        <v/>
      </c>
      <c r="D19" s="22">
        <f>Targets!D64</f>
        <v/>
      </c>
      <c r="E19" s="22">
        <f>Targets!E64</f>
        <v/>
      </c>
      <c r="F19" s="22">
        <f>Targets!F64</f>
        <v/>
      </c>
      <c r="G19" s="22">
        <f>Targets!G64</f>
        <v/>
      </c>
      <c r="H19" s="22">
        <f>Targets!H64</f>
        <v/>
      </c>
      <c r="I19" s="22">
        <f>Targets!I64</f>
        <v/>
      </c>
      <c r="J19" s="22">
        <f>Targets!J64</f>
        <v/>
      </c>
      <c r="K19" s="22">
        <f>Targets!K64</f>
        <v/>
      </c>
      <c r="L19" s="22">
        <f>Targets!L64</f>
        <v/>
      </c>
      <c r="M19" s="22">
        <f>Targets!M64</f>
        <v/>
      </c>
      <c r="N19" s="22">
        <f>Targets!N64</f>
        <v/>
      </c>
      <c r="O19" s="22">
        <f>Targets!O64</f>
        <v/>
      </c>
      <c r="P19" s="22">
        <f>Targets!P64</f>
        <v/>
      </c>
      <c r="Q19" s="22">
        <f>Targets!Q64</f>
        <v/>
      </c>
      <c r="R19" s="22">
        <f>Targets!R64</f>
        <v/>
      </c>
      <c r="S19" s="22">
        <f>Targets!S64</f>
        <v/>
      </c>
      <c r="T19" s="22">
        <f>Targets!T64</f>
        <v/>
      </c>
      <c r="U19" s="22">
        <f>Targets!U64</f>
        <v/>
      </c>
      <c r="V19" s="22">
        <f>Targets!V64</f>
        <v/>
      </c>
      <c r="W19" s="22">
        <f>Targets!W64</f>
        <v/>
      </c>
      <c r="X19" s="22">
        <f>Targets!X64</f>
        <v/>
      </c>
      <c r="Y19" s="22">
        <f>Targets!Y64</f>
        <v/>
      </c>
      <c r="Z19" s="22">
        <f>Targets!Z64</f>
        <v/>
      </c>
      <c r="AA19" s="22">
        <f>Targets!AA64</f>
        <v/>
      </c>
      <c r="AB19" s="22">
        <f>Targets!AB64</f>
        <v/>
      </c>
      <c r="AC19" s="22">
        <f>Targets!AC64</f>
        <v/>
      </c>
      <c r="AD19" s="22">
        <f>Targets!AD64</f>
        <v/>
      </c>
      <c r="AE19" s="22">
        <f>Targets!AE64</f>
        <v/>
      </c>
      <c r="AF19" s="22">
        <f>Targets!AF64</f>
        <v/>
      </c>
      <c r="AG19" s="22">
        <f>Targets!AG64</f>
        <v/>
      </c>
      <c r="AH19" s="22">
        <f>Targets!AH64</f>
        <v/>
      </c>
      <c r="AI19" s="22">
        <f>Targets!AI64</f>
        <v/>
      </c>
      <c r="AJ19" s="22">
        <f>Targets!AJ64</f>
        <v/>
      </c>
      <c r="AK19" s="22">
        <f>Targets!AK64</f>
        <v/>
      </c>
      <c r="AL19" s="22">
        <f>Targets!AL64</f>
        <v/>
      </c>
      <c r="AM19" s="22">
        <f>Targets!AM64</f>
        <v/>
      </c>
      <c r="AN19" s="22">
        <f>Targets!AN64</f>
        <v/>
      </c>
      <c r="AO19" s="22">
        <f>Targets!AO64</f>
        <v/>
      </c>
      <c r="AP19" s="22">
        <f>Targets!AP64</f>
        <v/>
      </c>
      <c r="AQ19" s="22">
        <f>Targets!AQ64</f>
        <v/>
      </c>
      <c r="AR19" s="22">
        <f>Targets!AR64</f>
        <v/>
      </c>
      <c r="AS19" s="22">
        <f>Targets!AS64</f>
        <v/>
      </c>
      <c r="AT19" s="22">
        <f>Targets!AT64</f>
        <v/>
      </c>
      <c r="AU19" s="22">
        <f>Targets!AU64</f>
        <v/>
      </c>
      <c r="AV19" s="22">
        <f>Targets!AV64</f>
        <v/>
      </c>
      <c r="AW19" s="22">
        <f>Targets!AW64</f>
        <v/>
      </c>
      <c r="AX19" s="22">
        <f>Targets!AX64</f>
        <v/>
      </c>
    </row>
    <row r="20">
      <c r="A20" t="inlineStr">
        <is>
          <t>Offshore contractors — Actual</t>
        </is>
      </c>
      <c r="B20" s="5" t="inlineStr">
        <is>
          <t>$K · org input</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row>
    <row r="21">
      <c r="A21" t="inlineStr">
        <is>
          <t>Onshore contractors — Target</t>
        </is>
      </c>
      <c r="B21" s="5" t="inlineStr">
        <is>
          <t>$K · linked</t>
        </is>
      </c>
      <c r="C21" s="22">
        <f>Targets!C65</f>
        <v/>
      </c>
      <c r="D21" s="22">
        <f>Targets!D65</f>
        <v/>
      </c>
      <c r="E21" s="22">
        <f>Targets!E65</f>
        <v/>
      </c>
      <c r="F21" s="22">
        <f>Targets!F65</f>
        <v/>
      </c>
      <c r="G21" s="22">
        <f>Targets!G65</f>
        <v/>
      </c>
      <c r="H21" s="22">
        <f>Targets!H65</f>
        <v/>
      </c>
      <c r="I21" s="22">
        <f>Targets!I65</f>
        <v/>
      </c>
      <c r="J21" s="22">
        <f>Targets!J65</f>
        <v/>
      </c>
      <c r="K21" s="22">
        <f>Targets!K65</f>
        <v/>
      </c>
      <c r="L21" s="22">
        <f>Targets!L65</f>
        <v/>
      </c>
      <c r="M21" s="22">
        <f>Targets!M65</f>
        <v/>
      </c>
      <c r="N21" s="22">
        <f>Targets!N65</f>
        <v/>
      </c>
      <c r="O21" s="22">
        <f>Targets!O65</f>
        <v/>
      </c>
      <c r="P21" s="22">
        <f>Targets!P65</f>
        <v/>
      </c>
      <c r="Q21" s="22">
        <f>Targets!Q65</f>
        <v/>
      </c>
      <c r="R21" s="22">
        <f>Targets!R65</f>
        <v/>
      </c>
      <c r="S21" s="22">
        <f>Targets!S65</f>
        <v/>
      </c>
      <c r="T21" s="22">
        <f>Targets!T65</f>
        <v/>
      </c>
      <c r="U21" s="22">
        <f>Targets!U65</f>
        <v/>
      </c>
      <c r="V21" s="22">
        <f>Targets!V65</f>
        <v/>
      </c>
      <c r="W21" s="22">
        <f>Targets!W65</f>
        <v/>
      </c>
      <c r="X21" s="22">
        <f>Targets!X65</f>
        <v/>
      </c>
      <c r="Y21" s="22">
        <f>Targets!Y65</f>
        <v/>
      </c>
      <c r="Z21" s="22">
        <f>Targets!Z65</f>
        <v/>
      </c>
      <c r="AA21" s="22">
        <f>Targets!AA65</f>
        <v/>
      </c>
      <c r="AB21" s="22">
        <f>Targets!AB65</f>
        <v/>
      </c>
      <c r="AC21" s="22">
        <f>Targets!AC65</f>
        <v/>
      </c>
      <c r="AD21" s="22">
        <f>Targets!AD65</f>
        <v/>
      </c>
      <c r="AE21" s="22">
        <f>Targets!AE65</f>
        <v/>
      </c>
      <c r="AF21" s="22">
        <f>Targets!AF65</f>
        <v/>
      </c>
      <c r="AG21" s="22">
        <f>Targets!AG65</f>
        <v/>
      </c>
      <c r="AH21" s="22">
        <f>Targets!AH65</f>
        <v/>
      </c>
      <c r="AI21" s="22">
        <f>Targets!AI65</f>
        <v/>
      </c>
      <c r="AJ21" s="22">
        <f>Targets!AJ65</f>
        <v/>
      </c>
      <c r="AK21" s="22">
        <f>Targets!AK65</f>
        <v/>
      </c>
      <c r="AL21" s="22">
        <f>Targets!AL65</f>
        <v/>
      </c>
      <c r="AM21" s="22">
        <f>Targets!AM65</f>
        <v/>
      </c>
      <c r="AN21" s="22">
        <f>Targets!AN65</f>
        <v/>
      </c>
      <c r="AO21" s="22">
        <f>Targets!AO65</f>
        <v/>
      </c>
      <c r="AP21" s="22">
        <f>Targets!AP65</f>
        <v/>
      </c>
      <c r="AQ21" s="22">
        <f>Targets!AQ65</f>
        <v/>
      </c>
      <c r="AR21" s="22">
        <f>Targets!AR65</f>
        <v/>
      </c>
      <c r="AS21" s="22">
        <f>Targets!AS65</f>
        <v/>
      </c>
      <c r="AT21" s="22">
        <f>Targets!AT65</f>
        <v/>
      </c>
      <c r="AU21" s="22">
        <f>Targets!AU65</f>
        <v/>
      </c>
      <c r="AV21" s="22">
        <f>Targets!AV65</f>
        <v/>
      </c>
      <c r="AW21" s="22">
        <f>Targets!AW65</f>
        <v/>
      </c>
      <c r="AX21" s="22">
        <f>Targets!AX65</f>
        <v/>
      </c>
    </row>
    <row r="22">
      <c r="A22" t="inlineStr">
        <is>
          <t>Onshore contractors — Actual</t>
        </is>
      </c>
      <c r="B22" s="5" t="inlineStr">
        <is>
          <t>$K · org input</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row>
    <row r="23">
      <c r="A23" t="inlineStr">
        <is>
          <t>Employees / Other — Target</t>
        </is>
      </c>
      <c r="B23" s="5" t="inlineStr">
        <is>
          <t>$K · linked</t>
        </is>
      </c>
      <c r="C23" s="22">
        <f>Targets!C66</f>
        <v/>
      </c>
      <c r="D23" s="22">
        <f>Targets!D66</f>
        <v/>
      </c>
      <c r="E23" s="22">
        <f>Targets!E66</f>
        <v/>
      </c>
      <c r="F23" s="22">
        <f>Targets!F66</f>
        <v/>
      </c>
      <c r="G23" s="22">
        <f>Targets!G66</f>
        <v/>
      </c>
      <c r="H23" s="22">
        <f>Targets!H66</f>
        <v/>
      </c>
      <c r="I23" s="22">
        <f>Targets!I66</f>
        <v/>
      </c>
      <c r="J23" s="22">
        <f>Targets!J66</f>
        <v/>
      </c>
      <c r="K23" s="22">
        <f>Targets!K66</f>
        <v/>
      </c>
      <c r="L23" s="22">
        <f>Targets!L66</f>
        <v/>
      </c>
      <c r="M23" s="22">
        <f>Targets!M66</f>
        <v/>
      </c>
      <c r="N23" s="22">
        <f>Targets!N66</f>
        <v/>
      </c>
      <c r="O23" s="22">
        <f>Targets!O66</f>
        <v/>
      </c>
      <c r="P23" s="22">
        <f>Targets!P66</f>
        <v/>
      </c>
      <c r="Q23" s="22">
        <f>Targets!Q66</f>
        <v/>
      </c>
      <c r="R23" s="22">
        <f>Targets!R66</f>
        <v/>
      </c>
      <c r="S23" s="22">
        <f>Targets!S66</f>
        <v/>
      </c>
      <c r="T23" s="22">
        <f>Targets!T66</f>
        <v/>
      </c>
      <c r="U23" s="22">
        <f>Targets!U66</f>
        <v/>
      </c>
      <c r="V23" s="22">
        <f>Targets!V66</f>
        <v/>
      </c>
      <c r="W23" s="22">
        <f>Targets!W66</f>
        <v/>
      </c>
      <c r="X23" s="22">
        <f>Targets!X66</f>
        <v/>
      </c>
      <c r="Y23" s="22">
        <f>Targets!Y66</f>
        <v/>
      </c>
      <c r="Z23" s="22">
        <f>Targets!Z66</f>
        <v/>
      </c>
      <c r="AA23" s="22">
        <f>Targets!AA66</f>
        <v/>
      </c>
      <c r="AB23" s="22">
        <f>Targets!AB66</f>
        <v/>
      </c>
      <c r="AC23" s="22">
        <f>Targets!AC66</f>
        <v/>
      </c>
      <c r="AD23" s="22">
        <f>Targets!AD66</f>
        <v/>
      </c>
      <c r="AE23" s="22">
        <f>Targets!AE66</f>
        <v/>
      </c>
      <c r="AF23" s="22">
        <f>Targets!AF66</f>
        <v/>
      </c>
      <c r="AG23" s="22">
        <f>Targets!AG66</f>
        <v/>
      </c>
      <c r="AH23" s="22">
        <f>Targets!AH66</f>
        <v/>
      </c>
      <c r="AI23" s="22">
        <f>Targets!AI66</f>
        <v/>
      </c>
      <c r="AJ23" s="22">
        <f>Targets!AJ66</f>
        <v/>
      </c>
      <c r="AK23" s="22">
        <f>Targets!AK66</f>
        <v/>
      </c>
      <c r="AL23" s="22">
        <f>Targets!AL66</f>
        <v/>
      </c>
      <c r="AM23" s="22">
        <f>Targets!AM66</f>
        <v/>
      </c>
      <c r="AN23" s="22">
        <f>Targets!AN66</f>
        <v/>
      </c>
      <c r="AO23" s="22">
        <f>Targets!AO66</f>
        <v/>
      </c>
      <c r="AP23" s="22">
        <f>Targets!AP66</f>
        <v/>
      </c>
      <c r="AQ23" s="22">
        <f>Targets!AQ66</f>
        <v/>
      </c>
      <c r="AR23" s="22">
        <f>Targets!AR66</f>
        <v/>
      </c>
      <c r="AS23" s="22">
        <f>Targets!AS66</f>
        <v/>
      </c>
      <c r="AT23" s="22">
        <f>Targets!AT66</f>
        <v/>
      </c>
      <c r="AU23" s="22">
        <f>Targets!AU66</f>
        <v/>
      </c>
      <c r="AV23" s="22">
        <f>Targets!AV66</f>
        <v/>
      </c>
      <c r="AW23" s="22">
        <f>Targets!AW66</f>
        <v/>
      </c>
      <c r="AX23" s="22">
        <f>Targets!AX66</f>
        <v/>
      </c>
    </row>
    <row r="24">
      <c r="A24" t="inlineStr">
        <is>
          <t>Employees / Other — Actual</t>
        </is>
      </c>
      <c r="B24" s="5" t="inlineStr">
        <is>
          <t>$K · org input</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row>
    <row r="25">
      <c r="A25" t="inlineStr">
        <is>
          <t>Total gross reductions — Target</t>
        </is>
      </c>
      <c r="B25" s="5" t="inlineStr">
        <is>
          <t>$K · auto</t>
        </is>
      </c>
      <c r="C25" s="15">
        <f>C17+C19+C21+C23</f>
        <v/>
      </c>
      <c r="D25" s="15">
        <f>D17+D19+D21+D23</f>
        <v/>
      </c>
      <c r="E25" s="15">
        <f>E17+E19+E21+E23</f>
        <v/>
      </c>
      <c r="F25" s="15">
        <f>F17+F19+F21+F23</f>
        <v/>
      </c>
      <c r="G25" s="15">
        <f>G17+G19+G21+G23</f>
        <v/>
      </c>
      <c r="H25" s="15">
        <f>H17+H19+H21+H23</f>
        <v/>
      </c>
      <c r="I25" s="15">
        <f>I17+I19+I21+I23</f>
        <v/>
      </c>
      <c r="J25" s="15">
        <f>J17+J19+J21+J23</f>
        <v/>
      </c>
      <c r="K25" s="15">
        <f>K17+K19+K21+K23</f>
        <v/>
      </c>
      <c r="L25" s="15">
        <f>L17+L19+L21+L23</f>
        <v/>
      </c>
      <c r="M25" s="15">
        <f>M17+M19+M21+M23</f>
        <v/>
      </c>
      <c r="N25" s="15">
        <f>N17+N19+N21+N23</f>
        <v/>
      </c>
      <c r="O25" s="15">
        <f>O17+O19+O21+O23</f>
        <v/>
      </c>
      <c r="P25" s="15">
        <f>P17+P19+P21+P23</f>
        <v/>
      </c>
      <c r="Q25" s="15">
        <f>Q17+Q19+Q21+Q23</f>
        <v/>
      </c>
      <c r="R25" s="15">
        <f>R17+R19+R21+R23</f>
        <v/>
      </c>
      <c r="S25" s="15">
        <f>S17+S19+S21+S23</f>
        <v/>
      </c>
      <c r="T25" s="15">
        <f>T17+T19+T21+T23</f>
        <v/>
      </c>
      <c r="U25" s="15">
        <f>U17+U19+U21+U23</f>
        <v/>
      </c>
      <c r="V25" s="15">
        <f>V17+V19+V21+V23</f>
        <v/>
      </c>
      <c r="W25" s="15">
        <f>W17+W19+W21+W23</f>
        <v/>
      </c>
      <c r="X25" s="15">
        <f>X17+X19+X21+X23</f>
        <v/>
      </c>
      <c r="Y25" s="15">
        <f>Y17+Y19+Y21+Y23</f>
        <v/>
      </c>
      <c r="Z25" s="15">
        <f>Z17+Z19+Z21+Z23</f>
        <v/>
      </c>
      <c r="AA25" s="15">
        <f>AA17+AA19+AA21+AA23</f>
        <v/>
      </c>
      <c r="AB25" s="15">
        <f>AB17+AB19+AB21+AB23</f>
        <v/>
      </c>
      <c r="AC25" s="15">
        <f>AC17+AC19+AC21+AC23</f>
        <v/>
      </c>
      <c r="AD25" s="15">
        <f>AD17+AD19+AD21+AD23</f>
        <v/>
      </c>
      <c r="AE25" s="15">
        <f>AE17+AE19+AE21+AE23</f>
        <v/>
      </c>
      <c r="AF25" s="15">
        <f>AF17+AF19+AF21+AF23</f>
        <v/>
      </c>
      <c r="AG25" s="15">
        <f>AG17+AG19+AG21+AG23</f>
        <v/>
      </c>
      <c r="AH25" s="15">
        <f>AH17+AH19+AH21+AH23</f>
        <v/>
      </c>
      <c r="AI25" s="15">
        <f>AI17+AI19+AI21+AI23</f>
        <v/>
      </c>
      <c r="AJ25" s="15">
        <f>AJ17+AJ19+AJ21+AJ23</f>
        <v/>
      </c>
      <c r="AK25" s="15">
        <f>AK17+AK19+AK21+AK23</f>
        <v/>
      </c>
      <c r="AL25" s="15">
        <f>AL17+AL19+AL21+AL23</f>
        <v/>
      </c>
      <c r="AM25" s="15">
        <f>AM17+AM19+AM21+AM23</f>
        <v/>
      </c>
      <c r="AN25" s="15">
        <f>AN17+AN19+AN21+AN23</f>
        <v/>
      </c>
      <c r="AO25" s="15">
        <f>AO17+AO19+AO21+AO23</f>
        <v/>
      </c>
      <c r="AP25" s="15">
        <f>AP17+AP19+AP21+AP23</f>
        <v/>
      </c>
      <c r="AQ25" s="15">
        <f>AQ17+AQ19+AQ21+AQ23</f>
        <v/>
      </c>
      <c r="AR25" s="15">
        <f>AR17+AR19+AR21+AR23</f>
        <v/>
      </c>
      <c r="AS25" s="15">
        <f>AS17+AS19+AS21+AS23</f>
        <v/>
      </c>
      <c r="AT25" s="15">
        <f>AT17+AT19+AT21+AT23</f>
        <v/>
      </c>
      <c r="AU25" s="15">
        <f>AU17+AU19+AU21+AU23</f>
        <v/>
      </c>
      <c r="AV25" s="15">
        <f>AV17+AV19+AV21+AV23</f>
        <v/>
      </c>
      <c r="AW25" s="15">
        <f>AW17+AW19+AW21+AW23</f>
        <v/>
      </c>
      <c r="AX25" s="15">
        <f>AX17+AX19+AX21+AX23</f>
        <v/>
      </c>
    </row>
    <row r="26">
      <c r="A26" t="inlineStr">
        <is>
          <t>Total gross reductions — Actual</t>
        </is>
      </c>
      <c r="B26" s="5" t="inlineStr">
        <is>
          <t>$K · auto</t>
        </is>
      </c>
      <c r="C26" s="15">
        <f>C18+C20+C22+C24</f>
        <v/>
      </c>
      <c r="D26" s="15">
        <f>D18+D20+D22+D24</f>
        <v/>
      </c>
      <c r="E26" s="15">
        <f>E18+E20+E22+E24</f>
        <v/>
      </c>
      <c r="F26" s="15">
        <f>F18+F20+F22+F24</f>
        <v/>
      </c>
      <c r="G26" s="15">
        <f>G18+G20+G22+G24</f>
        <v/>
      </c>
      <c r="H26" s="15">
        <f>H18+H20+H22+H24</f>
        <v/>
      </c>
      <c r="I26" s="15">
        <f>I18+I20+I22+I24</f>
        <v/>
      </c>
      <c r="J26" s="15">
        <f>J18+J20+J22+J24</f>
        <v/>
      </c>
      <c r="K26" s="15">
        <f>K18+K20+K22+K24</f>
        <v/>
      </c>
      <c r="L26" s="15">
        <f>L18+L20+L22+L24</f>
        <v/>
      </c>
      <c r="M26" s="15">
        <f>M18+M20+M22+M24</f>
        <v/>
      </c>
      <c r="N26" s="15">
        <f>N18+N20+N22+N24</f>
        <v/>
      </c>
      <c r="O26" s="15">
        <f>O18+O20+O22+O24</f>
        <v/>
      </c>
      <c r="P26" s="15">
        <f>P18+P20+P22+P24</f>
        <v/>
      </c>
      <c r="Q26" s="15">
        <f>Q18+Q20+Q22+Q24</f>
        <v/>
      </c>
      <c r="R26" s="15">
        <f>R18+R20+R22+R24</f>
        <v/>
      </c>
      <c r="S26" s="15">
        <f>S18+S20+S22+S24</f>
        <v/>
      </c>
      <c r="T26" s="15">
        <f>T18+T20+T22+T24</f>
        <v/>
      </c>
      <c r="U26" s="15">
        <f>U18+U20+U22+U24</f>
        <v/>
      </c>
      <c r="V26" s="15">
        <f>V18+V20+V22+V24</f>
        <v/>
      </c>
      <c r="W26" s="15">
        <f>W18+W20+W22+W24</f>
        <v/>
      </c>
      <c r="X26" s="15">
        <f>X18+X20+X22+X24</f>
        <v/>
      </c>
      <c r="Y26" s="15">
        <f>Y18+Y20+Y22+Y24</f>
        <v/>
      </c>
      <c r="Z26" s="15">
        <f>Z18+Z20+Z22+Z24</f>
        <v/>
      </c>
      <c r="AA26" s="15">
        <f>AA18+AA20+AA22+AA24</f>
        <v/>
      </c>
      <c r="AB26" s="15">
        <f>AB18+AB20+AB22+AB24</f>
        <v/>
      </c>
      <c r="AC26" s="15">
        <f>AC18+AC20+AC22+AC24</f>
        <v/>
      </c>
      <c r="AD26" s="15">
        <f>AD18+AD20+AD22+AD24</f>
        <v/>
      </c>
      <c r="AE26" s="15">
        <f>AE18+AE20+AE22+AE24</f>
        <v/>
      </c>
      <c r="AF26" s="15">
        <f>AF18+AF20+AF22+AF24</f>
        <v/>
      </c>
      <c r="AG26" s="15">
        <f>AG18+AG20+AG22+AG24</f>
        <v/>
      </c>
      <c r="AH26" s="15">
        <f>AH18+AH20+AH22+AH24</f>
        <v/>
      </c>
      <c r="AI26" s="15">
        <f>AI18+AI20+AI22+AI24</f>
        <v/>
      </c>
      <c r="AJ26" s="15">
        <f>AJ18+AJ20+AJ22+AJ24</f>
        <v/>
      </c>
      <c r="AK26" s="15">
        <f>AK18+AK20+AK22+AK24</f>
        <v/>
      </c>
      <c r="AL26" s="15">
        <f>AL18+AL20+AL22+AL24</f>
        <v/>
      </c>
      <c r="AM26" s="15">
        <f>AM18+AM20+AM22+AM24</f>
        <v/>
      </c>
      <c r="AN26" s="15">
        <f>AN18+AN20+AN22+AN24</f>
        <v/>
      </c>
      <c r="AO26" s="15">
        <f>AO18+AO20+AO22+AO24</f>
        <v/>
      </c>
      <c r="AP26" s="15">
        <f>AP18+AP20+AP22+AP24</f>
        <v/>
      </c>
      <c r="AQ26" s="15">
        <f>AQ18+AQ20+AQ22+AQ24</f>
        <v/>
      </c>
      <c r="AR26" s="15">
        <f>AR18+AR20+AR22+AR24</f>
        <v/>
      </c>
      <c r="AS26" s="15">
        <f>AS18+AS20+AS22+AS24</f>
        <v/>
      </c>
      <c r="AT26" s="15">
        <f>AT18+AT20+AT22+AT24</f>
        <v/>
      </c>
      <c r="AU26" s="15">
        <f>AU18+AU20+AU22+AU24</f>
        <v/>
      </c>
      <c r="AV26" s="15">
        <f>AV18+AV20+AV22+AV24</f>
        <v/>
      </c>
      <c r="AW26" s="15">
        <f>AW18+AW20+AW22+AW24</f>
        <v/>
      </c>
      <c r="AX26" s="15">
        <f>AX18+AX20+AX22+AX24</f>
        <v/>
      </c>
    </row>
    <row r="27">
      <c r="A27" t="inlineStr">
        <is>
          <t>Gross reductions variance</t>
        </is>
      </c>
      <c r="B27" s="5" t="inlineStr">
        <is>
          <t>$K · auto</t>
        </is>
      </c>
      <c r="C27" s="24">
        <f>C26-C25</f>
        <v/>
      </c>
      <c r="D27" s="24">
        <f>D26-D25</f>
        <v/>
      </c>
      <c r="E27" s="24">
        <f>E26-E25</f>
        <v/>
      </c>
      <c r="F27" s="24">
        <f>F26-F25</f>
        <v/>
      </c>
      <c r="G27" s="24">
        <f>G26-G25</f>
        <v/>
      </c>
      <c r="H27" s="24">
        <f>H26-H25</f>
        <v/>
      </c>
      <c r="I27" s="24">
        <f>I26-I25</f>
        <v/>
      </c>
      <c r="J27" s="24">
        <f>J26-J25</f>
        <v/>
      </c>
      <c r="K27" s="24">
        <f>K26-K25</f>
        <v/>
      </c>
      <c r="L27" s="24">
        <f>L26-L25</f>
        <v/>
      </c>
      <c r="M27" s="24">
        <f>M26-M25</f>
        <v/>
      </c>
      <c r="N27" s="24">
        <f>N26-N25</f>
        <v/>
      </c>
      <c r="O27" s="24">
        <f>O26-O25</f>
        <v/>
      </c>
      <c r="P27" s="24">
        <f>P26-P25</f>
        <v/>
      </c>
      <c r="Q27" s="24">
        <f>Q26-Q25</f>
        <v/>
      </c>
      <c r="R27" s="24">
        <f>R26-R25</f>
        <v/>
      </c>
      <c r="S27" s="24">
        <f>S26-S25</f>
        <v/>
      </c>
      <c r="T27" s="24">
        <f>T26-T25</f>
        <v/>
      </c>
      <c r="U27" s="24">
        <f>U26-U25</f>
        <v/>
      </c>
      <c r="V27" s="24">
        <f>V26-V25</f>
        <v/>
      </c>
      <c r="W27" s="24">
        <f>W26-W25</f>
        <v/>
      </c>
      <c r="X27" s="24">
        <f>X26-X25</f>
        <v/>
      </c>
      <c r="Y27" s="24">
        <f>Y26-Y25</f>
        <v/>
      </c>
      <c r="Z27" s="24">
        <f>Z26-Z25</f>
        <v/>
      </c>
      <c r="AA27" s="24">
        <f>AA26-AA25</f>
        <v/>
      </c>
      <c r="AB27" s="24">
        <f>AB26-AB25</f>
        <v/>
      </c>
      <c r="AC27" s="24">
        <f>AC26-AC25</f>
        <v/>
      </c>
      <c r="AD27" s="24">
        <f>AD26-AD25</f>
        <v/>
      </c>
      <c r="AE27" s="24">
        <f>AE26-AE25</f>
        <v/>
      </c>
      <c r="AF27" s="24">
        <f>AF26-AF25</f>
        <v/>
      </c>
      <c r="AG27" s="24">
        <f>AG26-AG25</f>
        <v/>
      </c>
      <c r="AH27" s="24">
        <f>AH26-AH25</f>
        <v/>
      </c>
      <c r="AI27" s="24">
        <f>AI26-AI25</f>
        <v/>
      </c>
      <c r="AJ27" s="24">
        <f>AJ26-AJ25</f>
        <v/>
      </c>
      <c r="AK27" s="24">
        <f>AK26-AK25</f>
        <v/>
      </c>
      <c r="AL27" s="24">
        <f>AL26-AL25</f>
        <v/>
      </c>
      <c r="AM27" s="24">
        <f>AM26-AM25</f>
        <v/>
      </c>
      <c r="AN27" s="24">
        <f>AN26-AN25</f>
        <v/>
      </c>
      <c r="AO27" s="24">
        <f>AO26-AO25</f>
        <v/>
      </c>
      <c r="AP27" s="24">
        <f>AP26-AP25</f>
        <v/>
      </c>
      <c r="AQ27" s="24">
        <f>AQ26-AQ25</f>
        <v/>
      </c>
      <c r="AR27" s="24">
        <f>AR26-AR25</f>
        <v/>
      </c>
      <c r="AS27" s="24">
        <f>AS26-AS25</f>
        <v/>
      </c>
      <c r="AT27" s="24">
        <f>AT26-AT25</f>
        <v/>
      </c>
      <c r="AU27" s="24">
        <f>AU26-AU25</f>
        <v/>
      </c>
      <c r="AV27" s="24">
        <f>AV26-AV25</f>
        <v/>
      </c>
      <c r="AW27" s="24">
        <f>AW26-AW25</f>
        <v/>
      </c>
      <c r="AX27" s="24">
        <f>AX26-AX25</f>
        <v/>
      </c>
    </row>
    <row r="28">
      <c r="A28" t="inlineStr">
        <is>
          <t>Headcount reduced in month — Actual</t>
        </is>
      </c>
      <c r="B28" s="5" t="inlineStr">
        <is>
          <t>heads · org input</t>
        </is>
      </c>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c r="Z28" s="25" t="n"/>
      <c r="AA28" s="25" t="n"/>
      <c r="AB28" s="25" t="n"/>
      <c r="AC28" s="25" t="n"/>
      <c r="AD28" s="25" t="n"/>
      <c r="AE28" s="25" t="n"/>
      <c r="AF28" s="25" t="n"/>
      <c r="AG28" s="25" t="n"/>
      <c r="AH28" s="25" t="n"/>
      <c r="AI28" s="25" t="n"/>
      <c r="AJ28" s="25" t="n"/>
      <c r="AK28" s="25" t="n"/>
      <c r="AL28" s="25" t="n"/>
      <c r="AM28" s="25" t="n"/>
      <c r="AN28" s="25" t="n"/>
      <c r="AO28" s="25" t="n"/>
      <c r="AP28" s="25" t="n"/>
      <c r="AQ28" s="25" t="n"/>
      <c r="AR28" s="25" t="n"/>
      <c r="AS28" s="25" t="n"/>
      <c r="AT28" s="25" t="n"/>
      <c r="AU28" s="25" t="n"/>
      <c r="AV28" s="25" t="n"/>
      <c r="AW28" s="25" t="n"/>
      <c r="AX28" s="25" t="n"/>
    </row>
    <row r="29">
      <c r="A29" t="inlineStr">
        <is>
          <t>Exit run-rate of reductions (annualized)</t>
        </is>
      </c>
      <c r="B29" s="5" t="inlineStr">
        <is>
          <t>$K · org input</t>
        </is>
      </c>
      <c r="C29" s="23" t="n"/>
      <c r="D29" s="23" t="n"/>
      <c r="E29" s="23" t="n"/>
      <c r="F29" s="23" t="n"/>
      <c r="G29" s="23" t="n"/>
      <c r="H29" s="23" t="n"/>
      <c r="I29" s="23" t="n"/>
      <c r="J29" s="23" t="n"/>
      <c r="K29" s="23" t="n"/>
      <c r="L29" s="23" t="n"/>
      <c r="M29" s="23" t="n"/>
      <c r="N29" s="23" t="n"/>
      <c r="O29" s="23" t="n"/>
      <c r="P29" s="23" t="n"/>
      <c r="Q29" s="23" t="n"/>
      <c r="R29" s="23" t="n"/>
      <c r="S29" s="23" t="n"/>
      <c r="T29" s="23" t="n"/>
      <c r="U29" s="23" t="n"/>
      <c r="V29" s="23" t="n"/>
      <c r="W29" s="23" t="n"/>
      <c r="X29" s="23" t="n"/>
      <c r="Y29" s="23" t="n"/>
      <c r="Z29" s="23" t="n"/>
      <c r="AA29" s="23" t="n"/>
      <c r="AB29" s="23" t="n"/>
      <c r="AC29" s="23" t="n"/>
      <c r="AD29" s="23" t="n"/>
      <c r="AE29" s="23" t="n"/>
      <c r="AF29" s="23" t="n"/>
      <c r="AG29" s="23" t="n"/>
      <c r="AH29" s="23" t="n"/>
      <c r="AI29" s="23" t="n"/>
      <c r="AJ29" s="23" t="n"/>
      <c r="AK29" s="23" t="n"/>
      <c r="AL29" s="23" t="n"/>
      <c r="AM29" s="23" t="n"/>
      <c r="AN29" s="23" t="n"/>
      <c r="AO29" s="23" t="n"/>
      <c r="AP29" s="23" t="n"/>
      <c r="AQ29" s="23" t="n"/>
      <c r="AR29" s="23" t="n"/>
      <c r="AS29" s="23" t="n"/>
      <c r="AT29" s="23" t="n"/>
      <c r="AU29" s="23" t="n"/>
      <c r="AV29" s="23" t="n"/>
      <c r="AW29" s="23" t="n"/>
      <c r="AX29" s="23" t="n"/>
    </row>
    <row r="30">
      <c r="A30" s="11" t="inlineStr">
        <is>
          <t>C.  INDIA COST ADDS</t>
        </is>
      </c>
      <c r="B30" s="16" t="inlineStr"/>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row>
    <row r="31">
      <c r="A31" t="inlineStr">
        <is>
          <t>India loaded cost adds — Target</t>
        </is>
      </c>
      <c r="B31" s="5" t="inlineStr">
        <is>
          <t>$K · linked</t>
        </is>
      </c>
      <c r="C31" s="22">
        <f>Targets!C67</f>
        <v/>
      </c>
      <c r="D31" s="22">
        <f>Targets!D67</f>
        <v/>
      </c>
      <c r="E31" s="22">
        <f>Targets!E67</f>
        <v/>
      </c>
      <c r="F31" s="22">
        <f>Targets!F67</f>
        <v/>
      </c>
      <c r="G31" s="22">
        <f>Targets!G67</f>
        <v/>
      </c>
      <c r="H31" s="22">
        <f>Targets!H67</f>
        <v/>
      </c>
      <c r="I31" s="22">
        <f>Targets!I67</f>
        <v/>
      </c>
      <c r="J31" s="22">
        <f>Targets!J67</f>
        <v/>
      </c>
      <c r="K31" s="22">
        <f>Targets!K67</f>
        <v/>
      </c>
      <c r="L31" s="22">
        <f>Targets!L67</f>
        <v/>
      </c>
      <c r="M31" s="22">
        <f>Targets!M67</f>
        <v/>
      </c>
      <c r="N31" s="22">
        <f>Targets!N67</f>
        <v/>
      </c>
      <c r="O31" s="22">
        <f>Targets!O67</f>
        <v/>
      </c>
      <c r="P31" s="22">
        <f>Targets!P67</f>
        <v/>
      </c>
      <c r="Q31" s="22">
        <f>Targets!Q67</f>
        <v/>
      </c>
      <c r="R31" s="22">
        <f>Targets!R67</f>
        <v/>
      </c>
      <c r="S31" s="22">
        <f>Targets!S67</f>
        <v/>
      </c>
      <c r="T31" s="22">
        <f>Targets!T67</f>
        <v/>
      </c>
      <c r="U31" s="22">
        <f>Targets!U67</f>
        <v/>
      </c>
      <c r="V31" s="22">
        <f>Targets!V67</f>
        <v/>
      </c>
      <c r="W31" s="22">
        <f>Targets!W67</f>
        <v/>
      </c>
      <c r="X31" s="22">
        <f>Targets!X67</f>
        <v/>
      </c>
      <c r="Y31" s="22">
        <f>Targets!Y67</f>
        <v/>
      </c>
      <c r="Z31" s="22">
        <f>Targets!Z67</f>
        <v/>
      </c>
      <c r="AA31" s="22">
        <f>Targets!AA67</f>
        <v/>
      </c>
      <c r="AB31" s="22">
        <f>Targets!AB67</f>
        <v/>
      </c>
      <c r="AC31" s="22">
        <f>Targets!AC67</f>
        <v/>
      </c>
      <c r="AD31" s="22">
        <f>Targets!AD67</f>
        <v/>
      </c>
      <c r="AE31" s="22">
        <f>Targets!AE67</f>
        <v/>
      </c>
      <c r="AF31" s="22">
        <f>Targets!AF67</f>
        <v/>
      </c>
      <c r="AG31" s="22">
        <f>Targets!AG67</f>
        <v/>
      </c>
      <c r="AH31" s="22">
        <f>Targets!AH67</f>
        <v/>
      </c>
      <c r="AI31" s="22">
        <f>Targets!AI67</f>
        <v/>
      </c>
      <c r="AJ31" s="22">
        <f>Targets!AJ67</f>
        <v/>
      </c>
      <c r="AK31" s="22">
        <f>Targets!AK67</f>
        <v/>
      </c>
      <c r="AL31" s="22">
        <f>Targets!AL67</f>
        <v/>
      </c>
      <c r="AM31" s="22">
        <f>Targets!AM67</f>
        <v/>
      </c>
      <c r="AN31" s="22">
        <f>Targets!AN67</f>
        <v/>
      </c>
      <c r="AO31" s="22">
        <f>Targets!AO67</f>
        <v/>
      </c>
      <c r="AP31" s="22">
        <f>Targets!AP67</f>
        <v/>
      </c>
      <c r="AQ31" s="22">
        <f>Targets!AQ67</f>
        <v/>
      </c>
      <c r="AR31" s="22">
        <f>Targets!AR67</f>
        <v/>
      </c>
      <c r="AS31" s="22">
        <f>Targets!AS67</f>
        <v/>
      </c>
      <c r="AT31" s="22">
        <f>Targets!AT67</f>
        <v/>
      </c>
      <c r="AU31" s="22">
        <f>Targets!AU67</f>
        <v/>
      </c>
      <c r="AV31" s="22">
        <f>Targets!AV67</f>
        <v/>
      </c>
      <c r="AW31" s="22">
        <f>Targets!AW67</f>
        <v/>
      </c>
      <c r="AX31" s="22">
        <f>Targets!AX67</f>
        <v/>
      </c>
    </row>
    <row r="32">
      <c r="A32" t="inlineStr">
        <is>
          <t>India loaded cost adds — Actual</t>
        </is>
      </c>
      <c r="B32" s="5" t="inlineStr">
        <is>
          <t>$K · org input</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row>
    <row r="33">
      <c r="A33" t="inlineStr">
        <is>
          <t>One-time transition costs (memo — never net)</t>
        </is>
      </c>
      <c r="B33" s="5" t="inlineStr">
        <is>
          <t>$K · org input</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row>
    <row r="34">
      <c r="A34" s="11" t="inlineStr">
        <is>
          <t>D.  NET LABOR ARBITRAGE  (B − C)</t>
        </is>
      </c>
      <c r="B34" s="16" t="inlineStr"/>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row>
    <row r="35">
      <c r="A35" t="inlineStr">
        <is>
          <t>Net labor arbitrage — Target</t>
        </is>
      </c>
      <c r="B35" s="5" t="inlineStr">
        <is>
          <t>$K · linked</t>
        </is>
      </c>
      <c r="C35" s="22">
        <f>Targets!C68</f>
        <v/>
      </c>
      <c r="D35" s="22">
        <f>Targets!D68</f>
        <v/>
      </c>
      <c r="E35" s="22">
        <f>Targets!E68</f>
        <v/>
      </c>
      <c r="F35" s="22">
        <f>Targets!F68</f>
        <v/>
      </c>
      <c r="G35" s="22">
        <f>Targets!G68</f>
        <v/>
      </c>
      <c r="H35" s="22">
        <f>Targets!H68</f>
        <v/>
      </c>
      <c r="I35" s="22">
        <f>Targets!I68</f>
        <v/>
      </c>
      <c r="J35" s="22">
        <f>Targets!J68</f>
        <v/>
      </c>
      <c r="K35" s="22">
        <f>Targets!K68</f>
        <v/>
      </c>
      <c r="L35" s="22">
        <f>Targets!L68</f>
        <v/>
      </c>
      <c r="M35" s="22">
        <f>Targets!M68</f>
        <v/>
      </c>
      <c r="N35" s="22">
        <f>Targets!N68</f>
        <v/>
      </c>
      <c r="O35" s="22">
        <f>Targets!O68</f>
        <v/>
      </c>
      <c r="P35" s="22">
        <f>Targets!P68</f>
        <v/>
      </c>
      <c r="Q35" s="22">
        <f>Targets!Q68</f>
        <v/>
      </c>
      <c r="R35" s="22">
        <f>Targets!R68</f>
        <v/>
      </c>
      <c r="S35" s="22">
        <f>Targets!S68</f>
        <v/>
      </c>
      <c r="T35" s="22">
        <f>Targets!T68</f>
        <v/>
      </c>
      <c r="U35" s="22">
        <f>Targets!U68</f>
        <v/>
      </c>
      <c r="V35" s="22">
        <f>Targets!V68</f>
        <v/>
      </c>
      <c r="W35" s="22">
        <f>Targets!W68</f>
        <v/>
      </c>
      <c r="X35" s="22">
        <f>Targets!X68</f>
        <v/>
      </c>
      <c r="Y35" s="22">
        <f>Targets!Y68</f>
        <v/>
      </c>
      <c r="Z35" s="22">
        <f>Targets!Z68</f>
        <v/>
      </c>
      <c r="AA35" s="22">
        <f>Targets!AA68</f>
        <v/>
      </c>
      <c r="AB35" s="22">
        <f>Targets!AB68</f>
        <v/>
      </c>
      <c r="AC35" s="22">
        <f>Targets!AC68</f>
        <v/>
      </c>
      <c r="AD35" s="22">
        <f>Targets!AD68</f>
        <v/>
      </c>
      <c r="AE35" s="22">
        <f>Targets!AE68</f>
        <v/>
      </c>
      <c r="AF35" s="22">
        <f>Targets!AF68</f>
        <v/>
      </c>
      <c r="AG35" s="22">
        <f>Targets!AG68</f>
        <v/>
      </c>
      <c r="AH35" s="22">
        <f>Targets!AH68</f>
        <v/>
      </c>
      <c r="AI35" s="22">
        <f>Targets!AI68</f>
        <v/>
      </c>
      <c r="AJ35" s="22">
        <f>Targets!AJ68</f>
        <v/>
      </c>
      <c r="AK35" s="22">
        <f>Targets!AK68</f>
        <v/>
      </c>
      <c r="AL35" s="22">
        <f>Targets!AL68</f>
        <v/>
      </c>
      <c r="AM35" s="22">
        <f>Targets!AM68</f>
        <v/>
      </c>
      <c r="AN35" s="22">
        <f>Targets!AN68</f>
        <v/>
      </c>
      <c r="AO35" s="22">
        <f>Targets!AO68</f>
        <v/>
      </c>
      <c r="AP35" s="22">
        <f>Targets!AP68</f>
        <v/>
      </c>
      <c r="AQ35" s="22">
        <f>Targets!AQ68</f>
        <v/>
      </c>
      <c r="AR35" s="22">
        <f>Targets!AR68</f>
        <v/>
      </c>
      <c r="AS35" s="22">
        <f>Targets!AS68</f>
        <v/>
      </c>
      <c r="AT35" s="22">
        <f>Targets!AT68</f>
        <v/>
      </c>
      <c r="AU35" s="22">
        <f>Targets!AU68</f>
        <v/>
      </c>
      <c r="AV35" s="22">
        <f>Targets!AV68</f>
        <v/>
      </c>
      <c r="AW35" s="22">
        <f>Targets!AW68</f>
        <v/>
      </c>
      <c r="AX35" s="22">
        <f>Targets!AX68</f>
        <v/>
      </c>
    </row>
    <row r="36">
      <c r="A36" t="inlineStr">
        <is>
          <t>Net labor arbitrage — Actual</t>
        </is>
      </c>
      <c r="B36" s="5" t="inlineStr">
        <is>
          <t>$K · auto</t>
        </is>
      </c>
      <c r="C36" s="15">
        <f>C26-C32</f>
        <v/>
      </c>
      <c r="D36" s="15">
        <f>D26-D32</f>
        <v/>
      </c>
      <c r="E36" s="15">
        <f>E26-E32</f>
        <v/>
      </c>
      <c r="F36" s="15">
        <f>F26-F32</f>
        <v/>
      </c>
      <c r="G36" s="15">
        <f>G26-G32</f>
        <v/>
      </c>
      <c r="H36" s="15">
        <f>H26-H32</f>
        <v/>
      </c>
      <c r="I36" s="15">
        <f>I26-I32</f>
        <v/>
      </c>
      <c r="J36" s="15">
        <f>J26-J32</f>
        <v/>
      </c>
      <c r="K36" s="15">
        <f>K26-K32</f>
        <v/>
      </c>
      <c r="L36" s="15">
        <f>L26-L32</f>
        <v/>
      </c>
      <c r="M36" s="15">
        <f>M26-M32</f>
        <v/>
      </c>
      <c r="N36" s="15">
        <f>N26-N32</f>
        <v/>
      </c>
      <c r="O36" s="15">
        <f>O26-O32</f>
        <v/>
      </c>
      <c r="P36" s="15">
        <f>P26-P32</f>
        <v/>
      </c>
      <c r="Q36" s="15">
        <f>Q26-Q32</f>
        <v/>
      </c>
      <c r="R36" s="15">
        <f>R26-R32</f>
        <v/>
      </c>
      <c r="S36" s="15">
        <f>S26-S32</f>
        <v/>
      </c>
      <c r="T36" s="15">
        <f>T26-T32</f>
        <v/>
      </c>
      <c r="U36" s="15">
        <f>U26-U32</f>
        <v/>
      </c>
      <c r="V36" s="15">
        <f>V26-V32</f>
        <v/>
      </c>
      <c r="W36" s="15">
        <f>W26-W32</f>
        <v/>
      </c>
      <c r="X36" s="15">
        <f>X26-X32</f>
        <v/>
      </c>
      <c r="Y36" s="15">
        <f>Y26-Y32</f>
        <v/>
      </c>
      <c r="Z36" s="15">
        <f>Z26-Z32</f>
        <v/>
      </c>
      <c r="AA36" s="15">
        <f>AA26-AA32</f>
        <v/>
      </c>
      <c r="AB36" s="15">
        <f>AB26-AB32</f>
        <v/>
      </c>
      <c r="AC36" s="15">
        <f>AC26-AC32</f>
        <v/>
      </c>
      <c r="AD36" s="15">
        <f>AD26-AD32</f>
        <v/>
      </c>
      <c r="AE36" s="15">
        <f>AE26-AE32</f>
        <v/>
      </c>
      <c r="AF36" s="15">
        <f>AF26-AF32</f>
        <v/>
      </c>
      <c r="AG36" s="15">
        <f>AG26-AG32</f>
        <v/>
      </c>
      <c r="AH36" s="15">
        <f>AH26-AH32</f>
        <v/>
      </c>
      <c r="AI36" s="15">
        <f>AI26-AI32</f>
        <v/>
      </c>
      <c r="AJ36" s="15">
        <f>AJ26-AJ32</f>
        <v/>
      </c>
      <c r="AK36" s="15">
        <f>AK26-AK32</f>
        <v/>
      </c>
      <c r="AL36" s="15">
        <f>AL26-AL32</f>
        <v/>
      </c>
      <c r="AM36" s="15">
        <f>AM26-AM32</f>
        <v/>
      </c>
      <c r="AN36" s="15">
        <f>AN26-AN32</f>
        <v/>
      </c>
      <c r="AO36" s="15">
        <f>AO26-AO32</f>
        <v/>
      </c>
      <c r="AP36" s="15">
        <f>AP26-AP32</f>
        <v/>
      </c>
      <c r="AQ36" s="15">
        <f>AQ26-AQ32</f>
        <v/>
      </c>
      <c r="AR36" s="15">
        <f>AR26-AR32</f>
        <v/>
      </c>
      <c r="AS36" s="15">
        <f>AS26-AS32</f>
        <v/>
      </c>
      <c r="AT36" s="15">
        <f>AT26-AT32</f>
        <v/>
      </c>
      <c r="AU36" s="15">
        <f>AU26-AU32</f>
        <v/>
      </c>
      <c r="AV36" s="15">
        <f>AV26-AV32</f>
        <v/>
      </c>
      <c r="AW36" s="15">
        <f>AW26-AW32</f>
        <v/>
      </c>
      <c r="AX36" s="15">
        <f>AX26-AX32</f>
        <v/>
      </c>
    </row>
    <row r="37">
      <c r="A37" t="inlineStr">
        <is>
          <t>Net variance (Actual − Target)</t>
        </is>
      </c>
      <c r="B37" s="5" t="inlineStr">
        <is>
          <t>$K · auto</t>
        </is>
      </c>
      <c r="C37" s="15">
        <f>C36-C35</f>
        <v/>
      </c>
      <c r="D37" s="15">
        <f>D36-D35</f>
        <v/>
      </c>
      <c r="E37" s="15">
        <f>E36-E35</f>
        <v/>
      </c>
      <c r="F37" s="15">
        <f>F36-F35</f>
        <v/>
      </c>
      <c r="G37" s="15">
        <f>G36-G35</f>
        <v/>
      </c>
      <c r="H37" s="15">
        <f>H36-H35</f>
        <v/>
      </c>
      <c r="I37" s="15">
        <f>I36-I35</f>
        <v/>
      </c>
      <c r="J37" s="15">
        <f>J36-J35</f>
        <v/>
      </c>
      <c r="K37" s="15">
        <f>K36-K35</f>
        <v/>
      </c>
      <c r="L37" s="15">
        <f>L36-L35</f>
        <v/>
      </c>
      <c r="M37" s="15">
        <f>M36-M35</f>
        <v/>
      </c>
      <c r="N37" s="15">
        <f>N36-N35</f>
        <v/>
      </c>
      <c r="O37" s="15">
        <f>O36-O35</f>
        <v/>
      </c>
      <c r="P37" s="15">
        <f>P36-P35</f>
        <v/>
      </c>
      <c r="Q37" s="15">
        <f>Q36-Q35</f>
        <v/>
      </c>
      <c r="R37" s="15">
        <f>R36-R35</f>
        <v/>
      </c>
      <c r="S37" s="15">
        <f>S36-S35</f>
        <v/>
      </c>
      <c r="T37" s="15">
        <f>T36-T35</f>
        <v/>
      </c>
      <c r="U37" s="15">
        <f>U36-U35</f>
        <v/>
      </c>
      <c r="V37" s="15">
        <f>V36-V35</f>
        <v/>
      </c>
      <c r="W37" s="15">
        <f>W36-W35</f>
        <v/>
      </c>
      <c r="X37" s="15">
        <f>X36-X35</f>
        <v/>
      </c>
      <c r="Y37" s="15">
        <f>Y36-Y35</f>
        <v/>
      </c>
      <c r="Z37" s="15">
        <f>Z36-Z35</f>
        <v/>
      </c>
      <c r="AA37" s="15">
        <f>AA36-AA35</f>
        <v/>
      </c>
      <c r="AB37" s="15">
        <f>AB36-AB35</f>
        <v/>
      </c>
      <c r="AC37" s="15">
        <f>AC36-AC35</f>
        <v/>
      </c>
      <c r="AD37" s="15">
        <f>AD36-AD35</f>
        <v/>
      </c>
      <c r="AE37" s="15">
        <f>AE36-AE35</f>
        <v/>
      </c>
      <c r="AF37" s="15">
        <f>AF36-AF35</f>
        <v/>
      </c>
      <c r="AG37" s="15">
        <f>AG36-AG35</f>
        <v/>
      </c>
      <c r="AH37" s="15">
        <f>AH36-AH35</f>
        <v/>
      </c>
      <c r="AI37" s="15">
        <f>AI36-AI35</f>
        <v/>
      </c>
      <c r="AJ37" s="15">
        <f>AJ36-AJ35</f>
        <v/>
      </c>
      <c r="AK37" s="15">
        <f>AK36-AK35</f>
        <v/>
      </c>
      <c r="AL37" s="15">
        <f>AL36-AL35</f>
        <v/>
      </c>
      <c r="AM37" s="15">
        <f>AM36-AM35</f>
        <v/>
      </c>
      <c r="AN37" s="15">
        <f>AN36-AN35</f>
        <v/>
      </c>
      <c r="AO37" s="15">
        <f>AO36-AO35</f>
        <v/>
      </c>
      <c r="AP37" s="15">
        <f>AP36-AP35</f>
        <v/>
      </c>
      <c r="AQ37" s="15">
        <f>AQ36-AQ35</f>
        <v/>
      </c>
      <c r="AR37" s="15">
        <f>AR36-AR35</f>
        <v/>
      </c>
      <c r="AS37" s="15">
        <f>AS36-AS35</f>
        <v/>
      </c>
      <c r="AT37" s="15">
        <f>AT36-AT35</f>
        <v/>
      </c>
      <c r="AU37" s="15">
        <f>AU36-AU35</f>
        <v/>
      </c>
      <c r="AV37" s="15">
        <f>AV36-AV35</f>
        <v/>
      </c>
      <c r="AW37" s="15">
        <f>AW36-AW35</f>
        <v/>
      </c>
      <c r="AX37" s="15">
        <f>AX36-AX35</f>
        <v/>
      </c>
    </row>
    <row r="38">
      <c r="A38" t="inlineStr">
        <is>
          <t>Cumulative net arbitrage — Target</t>
        </is>
      </c>
      <c r="B38" s="5" t="inlineStr">
        <is>
          <t>$K · auto</t>
        </is>
      </c>
      <c r="C38" s="15">
        <f>SUM($C35:C35)</f>
        <v/>
      </c>
      <c r="D38" s="15">
        <f>SUM($C35:D35)</f>
        <v/>
      </c>
      <c r="E38" s="15">
        <f>SUM($C35:E35)</f>
        <v/>
      </c>
      <c r="F38" s="15">
        <f>SUM($C35:F35)</f>
        <v/>
      </c>
      <c r="G38" s="15">
        <f>SUM($C35:G35)</f>
        <v/>
      </c>
      <c r="H38" s="15">
        <f>SUM($C35:H35)</f>
        <v/>
      </c>
      <c r="I38" s="15">
        <f>SUM($C35:I35)</f>
        <v/>
      </c>
      <c r="J38" s="15">
        <f>SUM($C35:J35)</f>
        <v/>
      </c>
      <c r="K38" s="15">
        <f>SUM($C35:K35)</f>
        <v/>
      </c>
      <c r="L38" s="15">
        <f>SUM($C35:L35)</f>
        <v/>
      </c>
      <c r="M38" s="15">
        <f>SUM($C35:M35)</f>
        <v/>
      </c>
      <c r="N38" s="15">
        <f>SUM($C35:N35)</f>
        <v/>
      </c>
      <c r="O38" s="15">
        <f>SUM($C35:O35)</f>
        <v/>
      </c>
      <c r="P38" s="15">
        <f>SUM($C35:P35)</f>
        <v/>
      </c>
      <c r="Q38" s="15">
        <f>SUM($C35:Q35)</f>
        <v/>
      </c>
      <c r="R38" s="15">
        <f>SUM($C35:R35)</f>
        <v/>
      </c>
      <c r="S38" s="15">
        <f>SUM($C35:S35)</f>
        <v/>
      </c>
      <c r="T38" s="15">
        <f>SUM($C35:T35)</f>
        <v/>
      </c>
      <c r="U38" s="15">
        <f>SUM($C35:U35)</f>
        <v/>
      </c>
      <c r="V38" s="15">
        <f>SUM($C35:V35)</f>
        <v/>
      </c>
      <c r="W38" s="15">
        <f>SUM($C35:W35)</f>
        <v/>
      </c>
      <c r="X38" s="15">
        <f>SUM($C35:X35)</f>
        <v/>
      </c>
      <c r="Y38" s="15">
        <f>SUM($C35:Y35)</f>
        <v/>
      </c>
      <c r="Z38" s="15">
        <f>SUM($C35:Z35)</f>
        <v/>
      </c>
      <c r="AA38" s="15">
        <f>SUM($C35:AA35)</f>
        <v/>
      </c>
      <c r="AB38" s="15">
        <f>SUM($C35:AB35)</f>
        <v/>
      </c>
      <c r="AC38" s="15">
        <f>SUM($C35:AC35)</f>
        <v/>
      </c>
      <c r="AD38" s="15">
        <f>SUM($C35:AD35)</f>
        <v/>
      </c>
      <c r="AE38" s="15">
        <f>SUM($C35:AE35)</f>
        <v/>
      </c>
      <c r="AF38" s="15">
        <f>SUM($C35:AF35)</f>
        <v/>
      </c>
      <c r="AG38" s="15">
        <f>SUM($C35:AG35)</f>
        <v/>
      </c>
      <c r="AH38" s="15">
        <f>SUM($C35:AH35)</f>
        <v/>
      </c>
      <c r="AI38" s="15">
        <f>SUM($C35:AI35)</f>
        <v/>
      </c>
      <c r="AJ38" s="15">
        <f>SUM($C35:AJ35)</f>
        <v/>
      </c>
      <c r="AK38" s="15">
        <f>SUM($C35:AK35)</f>
        <v/>
      </c>
      <c r="AL38" s="15">
        <f>SUM($C35:AL35)</f>
        <v/>
      </c>
      <c r="AM38" s="15">
        <f>SUM($C35:AM35)</f>
        <v/>
      </c>
      <c r="AN38" s="15">
        <f>SUM($C35:AN35)</f>
        <v/>
      </c>
      <c r="AO38" s="15">
        <f>SUM($C35:AO35)</f>
        <v/>
      </c>
      <c r="AP38" s="15">
        <f>SUM($C35:AP35)</f>
        <v/>
      </c>
      <c r="AQ38" s="15">
        <f>SUM($C35:AQ35)</f>
        <v/>
      </c>
      <c r="AR38" s="15">
        <f>SUM($C35:AR35)</f>
        <v/>
      </c>
      <c r="AS38" s="15">
        <f>SUM($C35:AS35)</f>
        <v/>
      </c>
      <c r="AT38" s="15">
        <f>SUM($C35:AT35)</f>
        <v/>
      </c>
      <c r="AU38" s="15">
        <f>SUM($C35:AU35)</f>
        <v/>
      </c>
      <c r="AV38" s="15">
        <f>SUM($C35:AV35)</f>
        <v/>
      </c>
      <c r="AW38" s="15">
        <f>SUM($C35:AW35)</f>
        <v/>
      </c>
      <c r="AX38" s="15">
        <f>SUM($C35:AX35)</f>
        <v/>
      </c>
    </row>
    <row r="39">
      <c r="A39" t="inlineStr">
        <is>
          <t>Cumulative net arbitrage — Actual</t>
        </is>
      </c>
      <c r="B39" s="5" t="inlineStr">
        <is>
          <t>$K · auto</t>
        </is>
      </c>
      <c r="C39" s="15">
        <f>SUM($C36:C36)</f>
        <v/>
      </c>
      <c r="D39" s="15">
        <f>SUM($C36:D36)</f>
        <v/>
      </c>
      <c r="E39" s="15">
        <f>SUM($C36:E36)</f>
        <v/>
      </c>
      <c r="F39" s="15">
        <f>SUM($C36:F36)</f>
        <v/>
      </c>
      <c r="G39" s="15">
        <f>SUM($C36:G36)</f>
        <v/>
      </c>
      <c r="H39" s="15">
        <f>SUM($C36:H36)</f>
        <v/>
      </c>
      <c r="I39" s="15">
        <f>SUM($C36:I36)</f>
        <v/>
      </c>
      <c r="J39" s="15">
        <f>SUM($C36:J36)</f>
        <v/>
      </c>
      <c r="K39" s="15">
        <f>SUM($C36:K36)</f>
        <v/>
      </c>
      <c r="L39" s="15">
        <f>SUM($C36:L36)</f>
        <v/>
      </c>
      <c r="M39" s="15">
        <f>SUM($C36:M36)</f>
        <v/>
      </c>
      <c r="N39" s="15">
        <f>SUM($C36:N36)</f>
        <v/>
      </c>
      <c r="O39" s="15">
        <f>SUM($C36:O36)</f>
        <v/>
      </c>
      <c r="P39" s="15">
        <f>SUM($C36:P36)</f>
        <v/>
      </c>
      <c r="Q39" s="15">
        <f>SUM($C36:Q36)</f>
        <v/>
      </c>
      <c r="R39" s="15">
        <f>SUM($C36:R36)</f>
        <v/>
      </c>
      <c r="S39" s="15">
        <f>SUM($C36:S36)</f>
        <v/>
      </c>
      <c r="T39" s="15">
        <f>SUM($C36:T36)</f>
        <v/>
      </c>
      <c r="U39" s="15">
        <f>SUM($C36:U36)</f>
        <v/>
      </c>
      <c r="V39" s="15">
        <f>SUM($C36:V36)</f>
        <v/>
      </c>
      <c r="W39" s="15">
        <f>SUM($C36:W36)</f>
        <v/>
      </c>
      <c r="X39" s="15">
        <f>SUM($C36:X36)</f>
        <v/>
      </c>
      <c r="Y39" s="15">
        <f>SUM($C36:Y36)</f>
        <v/>
      </c>
      <c r="Z39" s="15">
        <f>SUM($C36:Z36)</f>
        <v/>
      </c>
      <c r="AA39" s="15">
        <f>SUM($C36:AA36)</f>
        <v/>
      </c>
      <c r="AB39" s="15">
        <f>SUM($C36:AB36)</f>
        <v/>
      </c>
      <c r="AC39" s="15">
        <f>SUM($C36:AC36)</f>
        <v/>
      </c>
      <c r="AD39" s="15">
        <f>SUM($C36:AD36)</f>
        <v/>
      </c>
      <c r="AE39" s="15">
        <f>SUM($C36:AE36)</f>
        <v/>
      </c>
      <c r="AF39" s="15">
        <f>SUM($C36:AF36)</f>
        <v/>
      </c>
      <c r="AG39" s="15">
        <f>SUM($C36:AG36)</f>
        <v/>
      </c>
      <c r="AH39" s="15">
        <f>SUM($C36:AH36)</f>
        <v/>
      </c>
      <c r="AI39" s="15">
        <f>SUM($C36:AI36)</f>
        <v/>
      </c>
      <c r="AJ39" s="15">
        <f>SUM($C36:AJ36)</f>
        <v/>
      </c>
      <c r="AK39" s="15">
        <f>SUM($C36:AK36)</f>
        <v/>
      </c>
      <c r="AL39" s="15">
        <f>SUM($C36:AL36)</f>
        <v/>
      </c>
      <c r="AM39" s="15">
        <f>SUM($C36:AM36)</f>
        <v/>
      </c>
      <c r="AN39" s="15">
        <f>SUM($C36:AN36)</f>
        <v/>
      </c>
      <c r="AO39" s="15">
        <f>SUM($C36:AO36)</f>
        <v/>
      </c>
      <c r="AP39" s="15">
        <f>SUM($C36:AP36)</f>
        <v/>
      </c>
      <c r="AQ39" s="15">
        <f>SUM($C36:AQ36)</f>
        <v/>
      </c>
      <c r="AR39" s="15">
        <f>SUM($C36:AR36)</f>
        <v/>
      </c>
      <c r="AS39" s="15">
        <f>SUM($C36:AS36)</f>
        <v/>
      </c>
      <c r="AT39" s="15">
        <f>SUM($C36:AT36)</f>
        <v/>
      </c>
      <c r="AU39" s="15">
        <f>SUM($C36:AU36)</f>
        <v/>
      </c>
      <c r="AV39" s="15">
        <f>SUM($C36:AV36)</f>
        <v/>
      </c>
      <c r="AW39" s="15">
        <f>SUM($C36:AW36)</f>
        <v/>
      </c>
      <c r="AX39" s="15">
        <f>SUM($C36:AX36)</f>
        <v/>
      </c>
    </row>
    <row r="40">
      <c r="A40" s="11" t="inlineStr">
        <is>
          <t>E.  STATUS, ATTESTATION &amp; COMMENTARY</t>
        </is>
      </c>
      <c r="B40" s="16" t="inlineStr"/>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row>
    <row r="41">
      <c r="A41" t="inlineStr">
        <is>
          <t>Overall RAG status for month</t>
        </is>
      </c>
      <c r="B41" s="5" t="inlineStr">
        <is>
          <t>G/A/R · org input</t>
        </is>
      </c>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c r="AK41" s="26" t="n"/>
      <c r="AL41" s="26" t="n"/>
      <c r="AM41" s="26" t="n"/>
      <c r="AN41" s="26" t="n"/>
      <c r="AO41" s="26" t="n"/>
      <c r="AP41" s="26" t="n"/>
      <c r="AQ41" s="26" t="n"/>
      <c r="AR41" s="26" t="n"/>
      <c r="AS41" s="26" t="n"/>
      <c r="AT41" s="26" t="n"/>
      <c r="AU41" s="26" t="n"/>
      <c r="AV41" s="26" t="n"/>
      <c r="AW41" s="26" t="n"/>
      <c r="AX41" s="26" t="n"/>
    </row>
    <row r="42">
      <c r="A42" t="inlineStr">
        <is>
          <t>Attest: reductions free of leakage?</t>
        </is>
      </c>
      <c r="B42" s="5" t="inlineStr">
        <is>
          <t>Y/N · org input</t>
        </is>
      </c>
      <c r="C42" s="26" t="n"/>
      <c r="D42" s="26" t="n"/>
      <c r="E42" s="26"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c r="AD42" s="26" t="n"/>
      <c r="AE42" s="26" t="n"/>
      <c r="AF42" s="26" t="n"/>
      <c r="AG42" s="26" t="n"/>
      <c r="AH42" s="26" t="n"/>
      <c r="AI42" s="26" t="n"/>
      <c r="AJ42" s="26" t="n"/>
      <c r="AK42" s="26" t="n"/>
      <c r="AL42" s="26" t="n"/>
      <c r="AM42" s="26" t="n"/>
      <c r="AN42" s="26" t="n"/>
      <c r="AO42" s="26" t="n"/>
      <c r="AP42" s="26" t="n"/>
      <c r="AQ42" s="26" t="n"/>
      <c r="AR42" s="26" t="n"/>
      <c r="AS42" s="26" t="n"/>
      <c r="AT42" s="26" t="n"/>
      <c r="AU42" s="26" t="n"/>
      <c r="AV42" s="26" t="n"/>
      <c r="AW42" s="26" t="n"/>
      <c r="AX42" s="26" t="n"/>
    </row>
    <row r="43">
      <c r="A43" t="inlineStr">
        <is>
          <t>Attested by (org finance partner)</t>
        </is>
      </c>
      <c r="B43" s="5" t="inlineStr">
        <is>
          <t>name · org input</t>
        </is>
      </c>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c r="AD43" s="26" t="n"/>
      <c r="AE43" s="26" t="n"/>
      <c r="AF43" s="26" t="n"/>
      <c r="AG43" s="26" t="n"/>
      <c r="AH43" s="26" t="n"/>
      <c r="AI43" s="26" t="n"/>
      <c r="AJ43" s="26" t="n"/>
      <c r="AK43" s="26" t="n"/>
      <c r="AL43" s="26" t="n"/>
      <c r="AM43" s="26" t="n"/>
      <c r="AN43" s="26" t="n"/>
      <c r="AO43" s="26" t="n"/>
      <c r="AP43" s="26" t="n"/>
      <c r="AQ43" s="26" t="n"/>
      <c r="AR43" s="26" t="n"/>
      <c r="AS43" s="26" t="n"/>
      <c r="AT43" s="26" t="n"/>
      <c r="AU43" s="26" t="n"/>
      <c r="AV43" s="26" t="n"/>
      <c r="AW43" s="26" t="n"/>
      <c r="AX43" s="26" t="n"/>
    </row>
    <row r="44">
      <c r="A44" t="inlineStr">
        <is>
          <t>Commentary (required on material variance)</t>
        </is>
      </c>
      <c r="B44" s="5" t="inlineStr">
        <is>
          <t>text · org input</t>
        </is>
      </c>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c r="AD44" s="26" t="n"/>
      <c r="AE44" s="26" t="n"/>
      <c r="AF44" s="26" t="n"/>
      <c r="AG44" s="26" t="n"/>
      <c r="AH44" s="26" t="n"/>
      <c r="AI44" s="26" t="n"/>
      <c r="AJ44" s="26" t="n"/>
      <c r="AK44" s="26" t="n"/>
      <c r="AL44" s="26" t="n"/>
      <c r="AM44" s="26" t="n"/>
      <c r="AN44" s="26" t="n"/>
      <c r="AO44" s="26" t="n"/>
      <c r="AP44" s="26" t="n"/>
      <c r="AQ44" s="26" t="n"/>
      <c r="AR44" s="26" t="n"/>
      <c r="AS44" s="26" t="n"/>
      <c r="AT44" s="26" t="n"/>
      <c r="AU44" s="26" t="n"/>
      <c r="AV44" s="26" t="n"/>
      <c r="AW44" s="26" t="n"/>
      <c r="AX44" s="26" t="n"/>
    </row>
  </sheetData>
  <dataValidations count="2">
    <dataValidation sqref="C41:AX41" showDropDown="0" showInputMessage="0" showErrorMessage="0" allowBlank="1" type="list">
      <formula1>=Setup!$B$14:$B$16</formula1>
    </dataValidation>
    <dataValidation sqref="C42:AX42" showDropDown="0" showInputMessage="0" showErrorMessage="0" allowBlank="1" type="list">
      <formula1>=Setup!$B$18:$B$19</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X4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6" customWidth="1" min="1" max="1"/>
    <col width="20"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10.5" customWidth="1" min="35" max="35"/>
    <col width="10.5" customWidth="1" min="36" max="36"/>
    <col width="10.5" customWidth="1" min="37" max="37"/>
    <col width="10.5" customWidth="1" min="38" max="38"/>
    <col width="10.5" customWidth="1" min="39" max="39"/>
    <col width="10.5" customWidth="1" min="40" max="40"/>
    <col width="10.5" customWidth="1" min="41" max="41"/>
    <col width="10.5" customWidth="1" min="42" max="42"/>
    <col width="10.5" customWidth="1" min="43" max="43"/>
    <col width="10.5" customWidth="1" min="44" max="44"/>
    <col width="10.5" customWidth="1" min="45" max="45"/>
    <col width="10.5" customWidth="1" min="46" max="46"/>
    <col width="10.5" customWidth="1" min="47" max="47"/>
    <col width="10.5" customWidth="1" min="48" max="48"/>
    <col width="10.5" customWidth="1" min="49" max="49"/>
    <col width="10.5" customWidth="1" min="50" max="50"/>
  </cols>
  <sheetData>
    <row r="1">
      <c r="A1" s="4">
        <f>CONCATENATE("ORG: ",Setup!$B$11)</f>
        <v/>
      </c>
    </row>
    <row r="2">
      <c r="A2" s="5" t="inlineStr">
        <is>
          <t>Enter BLUE cells only. GREEN = central fill. GREY = linked target (do not edit). See READ ME + Guiding Principles tabs.</t>
        </is>
      </c>
    </row>
    <row r="4">
      <c r="C4" s="8" t="n">
        <v>2026</v>
      </c>
      <c r="O4" s="8" t="n">
        <v>2027</v>
      </c>
      <c r="AA4" s="8" t="n">
        <v>2028</v>
      </c>
      <c r="AM4" s="8" t="n">
        <v>2029</v>
      </c>
    </row>
    <row r="5">
      <c r="A5" s="9" t="inlineStr">
        <is>
          <t>Metric</t>
        </is>
      </c>
      <c r="B5" s="9" t="inlineStr">
        <is>
          <t>Unit / who fills</t>
        </is>
      </c>
      <c r="C5" s="10" t="n">
        <v>46023</v>
      </c>
      <c r="D5" s="10" t="n">
        <v>46054</v>
      </c>
      <c r="E5" s="10" t="n">
        <v>46082</v>
      </c>
      <c r="F5" s="10" t="n">
        <v>46113</v>
      </c>
      <c r="G5" s="10" t="n">
        <v>46143</v>
      </c>
      <c r="H5" s="10" t="n">
        <v>46174</v>
      </c>
      <c r="I5" s="10" t="n">
        <v>46204</v>
      </c>
      <c r="J5" s="10" t="n">
        <v>46235</v>
      </c>
      <c r="K5" s="10" t="n">
        <v>46266</v>
      </c>
      <c r="L5" s="10" t="n">
        <v>46296</v>
      </c>
      <c r="M5" s="10" t="n">
        <v>46327</v>
      </c>
      <c r="N5" s="10" t="n">
        <v>46357</v>
      </c>
      <c r="O5" s="10" t="n">
        <v>46388</v>
      </c>
      <c r="P5" s="10" t="n">
        <v>46419</v>
      </c>
      <c r="Q5" s="10" t="n">
        <v>46447</v>
      </c>
      <c r="R5" s="10" t="n">
        <v>46478</v>
      </c>
      <c r="S5" s="10" t="n">
        <v>46508</v>
      </c>
      <c r="T5" s="10" t="n">
        <v>46539</v>
      </c>
      <c r="U5" s="10" t="n">
        <v>46569</v>
      </c>
      <c r="V5" s="10" t="n">
        <v>46600</v>
      </c>
      <c r="W5" s="10" t="n">
        <v>46631</v>
      </c>
      <c r="X5" s="10" t="n">
        <v>46661</v>
      </c>
      <c r="Y5" s="10" t="n">
        <v>46692</v>
      </c>
      <c r="Z5" s="10" t="n">
        <v>46722</v>
      </c>
      <c r="AA5" s="10" t="n">
        <v>46753</v>
      </c>
      <c r="AB5" s="10" t="n">
        <v>46784</v>
      </c>
      <c r="AC5" s="10" t="n">
        <v>46813</v>
      </c>
      <c r="AD5" s="10" t="n">
        <v>46844</v>
      </c>
      <c r="AE5" s="10" t="n">
        <v>46874</v>
      </c>
      <c r="AF5" s="10" t="n">
        <v>46905</v>
      </c>
      <c r="AG5" s="10" t="n">
        <v>46935</v>
      </c>
      <c r="AH5" s="10" t="n">
        <v>46966</v>
      </c>
      <c r="AI5" s="10" t="n">
        <v>46997</v>
      </c>
      <c r="AJ5" s="10" t="n">
        <v>47027</v>
      </c>
      <c r="AK5" s="10" t="n">
        <v>47058</v>
      </c>
      <c r="AL5" s="10" t="n">
        <v>47088</v>
      </c>
      <c r="AM5" s="10" t="n">
        <v>47119</v>
      </c>
      <c r="AN5" s="10" t="n">
        <v>47150</v>
      </c>
      <c r="AO5" s="10" t="n">
        <v>47178</v>
      </c>
      <c r="AP5" s="10" t="n">
        <v>47209</v>
      </c>
      <c r="AQ5" s="10" t="n">
        <v>47239</v>
      </c>
      <c r="AR5" s="10" t="n">
        <v>47270</v>
      </c>
      <c r="AS5" s="10" t="n">
        <v>47300</v>
      </c>
      <c r="AT5" s="10" t="n">
        <v>47331</v>
      </c>
      <c r="AU5" s="10" t="n">
        <v>47362</v>
      </c>
      <c r="AV5" s="10" t="n">
        <v>47392</v>
      </c>
      <c r="AW5" s="10" t="n">
        <v>47423</v>
      </c>
      <c r="AX5" s="10" t="n">
        <v>47453</v>
      </c>
    </row>
    <row r="6">
      <c r="A6" s="11" t="inlineStr">
        <is>
          <t>A.  INDIA HIRING</t>
        </is>
      </c>
      <c r="B6" s="16" t="inlineStr"/>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row>
    <row r="7">
      <c r="A7" t="inlineStr">
        <is>
          <t>India hires — Target</t>
        </is>
      </c>
      <c r="B7" s="5" t="inlineStr">
        <is>
          <t>heads · linked</t>
        </is>
      </c>
      <c r="C7" s="17">
        <f>Targets!C71</f>
        <v/>
      </c>
      <c r="D7" s="17">
        <f>Targets!D71</f>
        <v/>
      </c>
      <c r="E7" s="17">
        <f>Targets!E71</f>
        <v/>
      </c>
      <c r="F7" s="17">
        <f>Targets!F71</f>
        <v/>
      </c>
      <c r="G7" s="17">
        <f>Targets!G71</f>
        <v/>
      </c>
      <c r="H7" s="17">
        <f>Targets!H71</f>
        <v/>
      </c>
      <c r="I7" s="17">
        <f>Targets!I71</f>
        <v/>
      </c>
      <c r="J7" s="17">
        <f>Targets!J71</f>
        <v/>
      </c>
      <c r="K7" s="17">
        <f>Targets!K71</f>
        <v/>
      </c>
      <c r="L7" s="17">
        <f>Targets!L71</f>
        <v/>
      </c>
      <c r="M7" s="17">
        <f>Targets!M71</f>
        <v/>
      </c>
      <c r="N7" s="17">
        <f>Targets!N71</f>
        <v/>
      </c>
      <c r="O7" s="17">
        <f>Targets!O71</f>
        <v/>
      </c>
      <c r="P7" s="17">
        <f>Targets!P71</f>
        <v/>
      </c>
      <c r="Q7" s="17">
        <f>Targets!Q71</f>
        <v/>
      </c>
      <c r="R7" s="17">
        <f>Targets!R71</f>
        <v/>
      </c>
      <c r="S7" s="17">
        <f>Targets!S71</f>
        <v/>
      </c>
      <c r="T7" s="17">
        <f>Targets!T71</f>
        <v/>
      </c>
      <c r="U7" s="17">
        <f>Targets!U71</f>
        <v/>
      </c>
      <c r="V7" s="17">
        <f>Targets!V71</f>
        <v/>
      </c>
      <c r="W7" s="17">
        <f>Targets!W71</f>
        <v/>
      </c>
      <c r="X7" s="17">
        <f>Targets!X71</f>
        <v/>
      </c>
      <c r="Y7" s="17">
        <f>Targets!Y71</f>
        <v/>
      </c>
      <c r="Z7" s="17">
        <f>Targets!Z71</f>
        <v/>
      </c>
      <c r="AA7" s="17">
        <f>Targets!AA71</f>
        <v/>
      </c>
      <c r="AB7" s="17">
        <f>Targets!AB71</f>
        <v/>
      </c>
      <c r="AC7" s="17">
        <f>Targets!AC71</f>
        <v/>
      </c>
      <c r="AD7" s="17">
        <f>Targets!AD71</f>
        <v/>
      </c>
      <c r="AE7" s="17">
        <f>Targets!AE71</f>
        <v/>
      </c>
      <c r="AF7" s="17">
        <f>Targets!AF71</f>
        <v/>
      </c>
      <c r="AG7" s="17">
        <f>Targets!AG71</f>
        <v/>
      </c>
      <c r="AH7" s="17">
        <f>Targets!AH71</f>
        <v/>
      </c>
      <c r="AI7" s="17">
        <f>Targets!AI71</f>
        <v/>
      </c>
      <c r="AJ7" s="17">
        <f>Targets!AJ71</f>
        <v/>
      </c>
      <c r="AK7" s="17">
        <f>Targets!AK71</f>
        <v/>
      </c>
      <c r="AL7" s="17">
        <f>Targets!AL71</f>
        <v/>
      </c>
      <c r="AM7" s="17">
        <f>Targets!AM71</f>
        <v/>
      </c>
      <c r="AN7" s="17">
        <f>Targets!AN71</f>
        <v/>
      </c>
      <c r="AO7" s="17">
        <f>Targets!AO71</f>
        <v/>
      </c>
      <c r="AP7" s="17">
        <f>Targets!AP71</f>
        <v/>
      </c>
      <c r="AQ7" s="17">
        <f>Targets!AQ71</f>
        <v/>
      </c>
      <c r="AR7" s="17">
        <f>Targets!AR71</f>
        <v/>
      </c>
      <c r="AS7" s="17">
        <f>Targets!AS71</f>
        <v/>
      </c>
      <c r="AT7" s="17">
        <f>Targets!AT71</f>
        <v/>
      </c>
      <c r="AU7" s="17">
        <f>Targets!AU71</f>
        <v/>
      </c>
      <c r="AV7" s="17">
        <f>Targets!AV71</f>
        <v/>
      </c>
      <c r="AW7" s="17">
        <f>Targets!AW71</f>
        <v/>
      </c>
      <c r="AX7" s="17">
        <f>Targets!AX71</f>
        <v/>
      </c>
    </row>
    <row r="8">
      <c r="A8" t="inlineStr">
        <is>
          <t>India hires — Actual</t>
        </is>
      </c>
      <c r="B8" s="5" t="inlineStr">
        <is>
          <t>heads · central (PlanIt)</t>
        </is>
      </c>
      <c r="C8" s="18" t="n"/>
      <c r="D8" s="18" t="n"/>
      <c r="E8" s="18" t="n"/>
      <c r="F8" s="18" t="n"/>
      <c r="G8" s="18" t="n"/>
      <c r="H8" s="18" t="n"/>
      <c r="I8" s="18" t="n"/>
      <c r="J8" s="18" t="n"/>
      <c r="K8" s="18" t="n"/>
      <c r="L8" s="18" t="n"/>
      <c r="M8" s="18" t="n"/>
      <c r="N8" s="18" t="n"/>
      <c r="O8" s="18" t="n"/>
      <c r="P8" s="18" t="n"/>
      <c r="Q8" s="18" t="n"/>
      <c r="R8" s="18" t="n"/>
      <c r="S8" s="18" t="n"/>
      <c r="T8" s="18" t="n"/>
      <c r="U8" s="18" t="n"/>
      <c r="V8" s="18" t="n"/>
      <c r="W8" s="18" t="n"/>
      <c r="X8" s="18" t="n"/>
      <c r="Y8" s="18" t="n"/>
      <c r="Z8" s="18" t="n"/>
      <c r="AA8" s="18" t="n"/>
      <c r="AB8" s="18" t="n"/>
      <c r="AC8" s="18" t="n"/>
      <c r="AD8" s="18" t="n"/>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row>
    <row r="9">
      <c r="A9" t="inlineStr">
        <is>
          <t>Cumulative hires — Target</t>
        </is>
      </c>
      <c r="B9" s="5" t="inlineStr">
        <is>
          <t>heads · auto</t>
        </is>
      </c>
      <c r="C9" s="19">
        <f>SUM($C7:C7)</f>
        <v/>
      </c>
      <c r="D9" s="19">
        <f>SUM($C7:D7)</f>
        <v/>
      </c>
      <c r="E9" s="19">
        <f>SUM($C7:E7)</f>
        <v/>
      </c>
      <c r="F9" s="19">
        <f>SUM($C7:F7)</f>
        <v/>
      </c>
      <c r="G9" s="19">
        <f>SUM($C7:G7)</f>
        <v/>
      </c>
      <c r="H9" s="19">
        <f>SUM($C7:H7)</f>
        <v/>
      </c>
      <c r="I9" s="19">
        <f>SUM($C7:I7)</f>
        <v/>
      </c>
      <c r="J9" s="19">
        <f>SUM($C7:J7)</f>
        <v/>
      </c>
      <c r="K9" s="19">
        <f>SUM($C7:K7)</f>
        <v/>
      </c>
      <c r="L9" s="19">
        <f>SUM($C7:L7)</f>
        <v/>
      </c>
      <c r="M9" s="19">
        <f>SUM($C7:M7)</f>
        <v/>
      </c>
      <c r="N9" s="19">
        <f>SUM($C7:N7)</f>
        <v/>
      </c>
      <c r="O9" s="19">
        <f>SUM($C7:O7)</f>
        <v/>
      </c>
      <c r="P9" s="19">
        <f>SUM($C7:P7)</f>
        <v/>
      </c>
      <c r="Q9" s="19">
        <f>SUM($C7:Q7)</f>
        <v/>
      </c>
      <c r="R9" s="19">
        <f>SUM($C7:R7)</f>
        <v/>
      </c>
      <c r="S9" s="19">
        <f>SUM($C7:S7)</f>
        <v/>
      </c>
      <c r="T9" s="19">
        <f>SUM($C7:T7)</f>
        <v/>
      </c>
      <c r="U9" s="19">
        <f>SUM($C7:U7)</f>
        <v/>
      </c>
      <c r="V9" s="19">
        <f>SUM($C7:V7)</f>
        <v/>
      </c>
      <c r="W9" s="19">
        <f>SUM($C7:W7)</f>
        <v/>
      </c>
      <c r="X9" s="19">
        <f>SUM($C7:X7)</f>
        <v/>
      </c>
      <c r="Y9" s="19">
        <f>SUM($C7:Y7)</f>
        <v/>
      </c>
      <c r="Z9" s="19">
        <f>SUM($C7:Z7)</f>
        <v/>
      </c>
      <c r="AA9" s="19">
        <f>SUM($C7:AA7)</f>
        <v/>
      </c>
      <c r="AB9" s="19">
        <f>SUM($C7:AB7)</f>
        <v/>
      </c>
      <c r="AC9" s="19">
        <f>SUM($C7:AC7)</f>
        <v/>
      </c>
      <c r="AD9" s="19">
        <f>SUM($C7:AD7)</f>
        <v/>
      </c>
      <c r="AE9" s="19">
        <f>SUM($C7:AE7)</f>
        <v/>
      </c>
      <c r="AF9" s="19">
        <f>SUM($C7:AF7)</f>
        <v/>
      </c>
      <c r="AG9" s="19">
        <f>SUM($C7:AG7)</f>
        <v/>
      </c>
      <c r="AH9" s="19">
        <f>SUM($C7:AH7)</f>
        <v/>
      </c>
      <c r="AI9" s="19">
        <f>SUM($C7:AI7)</f>
        <v/>
      </c>
      <c r="AJ9" s="19">
        <f>SUM($C7:AJ7)</f>
        <v/>
      </c>
      <c r="AK9" s="19">
        <f>SUM($C7:AK7)</f>
        <v/>
      </c>
      <c r="AL9" s="19">
        <f>SUM($C7:AL7)</f>
        <v/>
      </c>
      <c r="AM9" s="19">
        <f>SUM($C7:AM7)</f>
        <v/>
      </c>
      <c r="AN9" s="19">
        <f>SUM($C7:AN7)</f>
        <v/>
      </c>
      <c r="AO9" s="19">
        <f>SUM($C7:AO7)</f>
        <v/>
      </c>
      <c r="AP9" s="19">
        <f>SUM($C7:AP7)</f>
        <v/>
      </c>
      <c r="AQ9" s="19">
        <f>SUM($C7:AQ7)</f>
        <v/>
      </c>
      <c r="AR9" s="19">
        <f>SUM($C7:AR7)</f>
        <v/>
      </c>
      <c r="AS9" s="19">
        <f>SUM($C7:AS7)</f>
        <v/>
      </c>
      <c r="AT9" s="19">
        <f>SUM($C7:AT7)</f>
        <v/>
      </c>
      <c r="AU9" s="19">
        <f>SUM($C7:AU7)</f>
        <v/>
      </c>
      <c r="AV9" s="19">
        <f>SUM($C7:AV7)</f>
        <v/>
      </c>
      <c r="AW9" s="19">
        <f>SUM($C7:AW7)</f>
        <v/>
      </c>
      <c r="AX9" s="19">
        <f>SUM($C7:AX7)</f>
        <v/>
      </c>
    </row>
    <row r="10">
      <c r="A10" t="inlineStr">
        <is>
          <t>Cumulative hires — Actual</t>
        </is>
      </c>
      <c r="B10" s="5" t="inlineStr">
        <is>
          <t>heads · auto</t>
        </is>
      </c>
      <c r="C10" s="19">
        <f>SUM($C8:C8)</f>
        <v/>
      </c>
      <c r="D10" s="19">
        <f>SUM($C8:D8)</f>
        <v/>
      </c>
      <c r="E10" s="19">
        <f>SUM($C8:E8)</f>
        <v/>
      </c>
      <c r="F10" s="19">
        <f>SUM($C8:F8)</f>
        <v/>
      </c>
      <c r="G10" s="19">
        <f>SUM($C8:G8)</f>
        <v/>
      </c>
      <c r="H10" s="19">
        <f>SUM($C8:H8)</f>
        <v/>
      </c>
      <c r="I10" s="19">
        <f>SUM($C8:I8)</f>
        <v/>
      </c>
      <c r="J10" s="19">
        <f>SUM($C8:J8)</f>
        <v/>
      </c>
      <c r="K10" s="19">
        <f>SUM($C8:K8)</f>
        <v/>
      </c>
      <c r="L10" s="19">
        <f>SUM($C8:L8)</f>
        <v/>
      </c>
      <c r="M10" s="19">
        <f>SUM($C8:M8)</f>
        <v/>
      </c>
      <c r="N10" s="19">
        <f>SUM($C8:N8)</f>
        <v/>
      </c>
      <c r="O10" s="19">
        <f>SUM($C8:O8)</f>
        <v/>
      </c>
      <c r="P10" s="19">
        <f>SUM($C8:P8)</f>
        <v/>
      </c>
      <c r="Q10" s="19">
        <f>SUM($C8:Q8)</f>
        <v/>
      </c>
      <c r="R10" s="19">
        <f>SUM($C8:R8)</f>
        <v/>
      </c>
      <c r="S10" s="19">
        <f>SUM($C8:S8)</f>
        <v/>
      </c>
      <c r="T10" s="19">
        <f>SUM($C8:T8)</f>
        <v/>
      </c>
      <c r="U10" s="19">
        <f>SUM($C8:U8)</f>
        <v/>
      </c>
      <c r="V10" s="19">
        <f>SUM($C8:V8)</f>
        <v/>
      </c>
      <c r="W10" s="19">
        <f>SUM($C8:W8)</f>
        <v/>
      </c>
      <c r="X10" s="19">
        <f>SUM($C8:X8)</f>
        <v/>
      </c>
      <c r="Y10" s="19">
        <f>SUM($C8:Y8)</f>
        <v/>
      </c>
      <c r="Z10" s="19">
        <f>SUM($C8:Z8)</f>
        <v/>
      </c>
      <c r="AA10" s="19">
        <f>SUM($C8:AA8)</f>
        <v/>
      </c>
      <c r="AB10" s="19">
        <f>SUM($C8:AB8)</f>
        <v/>
      </c>
      <c r="AC10" s="19">
        <f>SUM($C8:AC8)</f>
        <v/>
      </c>
      <c r="AD10" s="19">
        <f>SUM($C8:AD8)</f>
        <v/>
      </c>
      <c r="AE10" s="19">
        <f>SUM($C8:AE8)</f>
        <v/>
      </c>
      <c r="AF10" s="19">
        <f>SUM($C8:AF8)</f>
        <v/>
      </c>
      <c r="AG10" s="19">
        <f>SUM($C8:AG8)</f>
        <v/>
      </c>
      <c r="AH10" s="19">
        <f>SUM($C8:AH8)</f>
        <v/>
      </c>
      <c r="AI10" s="19">
        <f>SUM($C8:AI8)</f>
        <v/>
      </c>
      <c r="AJ10" s="19">
        <f>SUM($C8:AJ8)</f>
        <v/>
      </c>
      <c r="AK10" s="19">
        <f>SUM($C8:AK8)</f>
        <v/>
      </c>
      <c r="AL10" s="19">
        <f>SUM($C8:AL8)</f>
        <v/>
      </c>
      <c r="AM10" s="19">
        <f>SUM($C8:AM8)</f>
        <v/>
      </c>
      <c r="AN10" s="19">
        <f>SUM($C8:AN8)</f>
        <v/>
      </c>
      <c r="AO10" s="19">
        <f>SUM($C8:AO8)</f>
        <v/>
      </c>
      <c r="AP10" s="19">
        <f>SUM($C8:AP8)</f>
        <v/>
      </c>
      <c r="AQ10" s="19">
        <f>SUM($C8:AQ8)</f>
        <v/>
      </c>
      <c r="AR10" s="19">
        <f>SUM($C8:AR8)</f>
        <v/>
      </c>
      <c r="AS10" s="19">
        <f>SUM($C8:AS8)</f>
        <v/>
      </c>
      <c r="AT10" s="19">
        <f>SUM($C8:AT8)</f>
        <v/>
      </c>
      <c r="AU10" s="19">
        <f>SUM($C8:AU8)</f>
        <v/>
      </c>
      <c r="AV10" s="19">
        <f>SUM($C8:AV8)</f>
        <v/>
      </c>
      <c r="AW10" s="19">
        <f>SUM($C8:AW8)</f>
        <v/>
      </c>
      <c r="AX10" s="19">
        <f>SUM($C8:AX8)</f>
        <v/>
      </c>
    </row>
    <row r="11">
      <c r="A11" t="inlineStr">
        <is>
          <t>Hires variance (Actual − Target), cumulative</t>
        </is>
      </c>
      <c r="B11" s="5" t="inlineStr">
        <is>
          <t>heads · auto</t>
        </is>
      </c>
      <c r="C11" s="19">
        <f>C10-C9</f>
        <v/>
      </c>
      <c r="D11" s="19">
        <f>D10-D9</f>
        <v/>
      </c>
      <c r="E11" s="19">
        <f>E10-E9</f>
        <v/>
      </c>
      <c r="F11" s="19">
        <f>F10-F9</f>
        <v/>
      </c>
      <c r="G11" s="19">
        <f>G10-G9</f>
        <v/>
      </c>
      <c r="H11" s="19">
        <f>H10-H9</f>
        <v/>
      </c>
      <c r="I11" s="19">
        <f>I10-I9</f>
        <v/>
      </c>
      <c r="J11" s="19">
        <f>J10-J9</f>
        <v/>
      </c>
      <c r="K11" s="19">
        <f>K10-K9</f>
        <v/>
      </c>
      <c r="L11" s="19">
        <f>L10-L9</f>
        <v/>
      </c>
      <c r="M11" s="19">
        <f>M10-M9</f>
        <v/>
      </c>
      <c r="N11" s="19">
        <f>N10-N9</f>
        <v/>
      </c>
      <c r="O11" s="19">
        <f>O10-O9</f>
        <v/>
      </c>
      <c r="P11" s="19">
        <f>P10-P9</f>
        <v/>
      </c>
      <c r="Q11" s="19">
        <f>Q10-Q9</f>
        <v/>
      </c>
      <c r="R11" s="19">
        <f>R10-R9</f>
        <v/>
      </c>
      <c r="S11" s="19">
        <f>S10-S9</f>
        <v/>
      </c>
      <c r="T11" s="19">
        <f>T10-T9</f>
        <v/>
      </c>
      <c r="U11" s="19">
        <f>U10-U9</f>
        <v/>
      </c>
      <c r="V11" s="19">
        <f>V10-V9</f>
        <v/>
      </c>
      <c r="W11" s="19">
        <f>W10-W9</f>
        <v/>
      </c>
      <c r="X11" s="19">
        <f>X10-X9</f>
        <v/>
      </c>
      <c r="Y11" s="19">
        <f>Y10-Y9</f>
        <v/>
      </c>
      <c r="Z11" s="19">
        <f>Z10-Z9</f>
        <v/>
      </c>
      <c r="AA11" s="19">
        <f>AA10-AA9</f>
        <v/>
      </c>
      <c r="AB11" s="19">
        <f>AB10-AB9</f>
        <v/>
      </c>
      <c r="AC11" s="19">
        <f>AC10-AC9</f>
        <v/>
      </c>
      <c r="AD11" s="19">
        <f>AD10-AD9</f>
        <v/>
      </c>
      <c r="AE11" s="19">
        <f>AE10-AE9</f>
        <v/>
      </c>
      <c r="AF11" s="19">
        <f>AF10-AF9</f>
        <v/>
      </c>
      <c r="AG11" s="19">
        <f>AG10-AG9</f>
        <v/>
      </c>
      <c r="AH11" s="19">
        <f>AH10-AH9</f>
        <v/>
      </c>
      <c r="AI11" s="19">
        <f>AI10-AI9</f>
        <v/>
      </c>
      <c r="AJ11" s="19">
        <f>AJ10-AJ9</f>
        <v/>
      </c>
      <c r="AK11" s="19">
        <f>AK10-AK9</f>
        <v/>
      </c>
      <c r="AL11" s="19">
        <f>AL10-AL9</f>
        <v/>
      </c>
      <c r="AM11" s="19">
        <f>AM10-AM9</f>
        <v/>
      </c>
      <c r="AN11" s="19">
        <f>AN10-AN9</f>
        <v/>
      </c>
      <c r="AO11" s="19">
        <f>AO10-AO9</f>
        <v/>
      </c>
      <c r="AP11" s="19">
        <f>AP10-AP9</f>
        <v/>
      </c>
      <c r="AQ11" s="19">
        <f>AQ10-AQ9</f>
        <v/>
      </c>
      <c r="AR11" s="19">
        <f>AR10-AR9</f>
        <v/>
      </c>
      <c r="AS11" s="19">
        <f>AS10-AS9</f>
        <v/>
      </c>
      <c r="AT11" s="19">
        <f>AT10-AT9</f>
        <v/>
      </c>
      <c r="AU11" s="19">
        <f>AU10-AU9</f>
        <v/>
      </c>
      <c r="AV11" s="19">
        <f>AV10-AV9</f>
        <v/>
      </c>
      <c r="AW11" s="19">
        <f>AW10-AW9</f>
        <v/>
      </c>
      <c r="AX11" s="19">
        <f>AX10-AX9</f>
        <v/>
      </c>
    </row>
    <row r="12">
      <c r="A12" t="inlineStr">
        <is>
          <t>Avg India loaded comp — Plan</t>
        </is>
      </c>
      <c r="B12" s="5" t="inlineStr">
        <is>
          <t>$K/yr · central (PlanIt)</t>
        </is>
      </c>
      <c r="C12" s="20" t="n"/>
      <c r="D12" s="20" t="n"/>
      <c r="E12" s="20" t="n"/>
      <c r="F12" s="20" t="n"/>
      <c r="G12" s="20" t="n"/>
      <c r="H12" s="20" t="n"/>
      <c r="I12" s="20" t="n"/>
      <c r="J12" s="20" t="n"/>
      <c r="K12" s="20" t="n"/>
      <c r="L12" s="20" t="n"/>
      <c r="M12" s="20" t="n"/>
      <c r="N12" s="20" t="n"/>
      <c r="O12" s="20" t="n"/>
      <c r="P12" s="20" t="n"/>
      <c r="Q12" s="20" t="n"/>
      <c r="R12" s="20" t="n"/>
      <c r="S12" s="20" t="n"/>
      <c r="T12" s="20" t="n"/>
      <c r="U12" s="20" t="n"/>
      <c r="V12" s="20" t="n"/>
      <c r="W12" s="20" t="n"/>
      <c r="X12" s="20" t="n"/>
      <c r="Y12" s="20" t="n"/>
      <c r="Z12" s="20" t="n"/>
      <c r="AA12" s="20" t="n"/>
      <c r="AB12" s="20" t="n"/>
      <c r="AC12" s="20" t="n"/>
      <c r="AD12" s="20" t="n"/>
      <c r="AE12" s="20" t="n"/>
      <c r="AF12" s="20" t="n"/>
      <c r="AG12" s="20" t="n"/>
      <c r="AH12" s="20" t="n"/>
      <c r="AI12" s="20" t="n"/>
      <c r="AJ12" s="20" t="n"/>
      <c r="AK12" s="20" t="n"/>
      <c r="AL12" s="20" t="n"/>
      <c r="AM12" s="20" t="n"/>
      <c r="AN12" s="20" t="n"/>
      <c r="AO12" s="20" t="n"/>
      <c r="AP12" s="20" t="n"/>
      <c r="AQ12" s="20" t="n"/>
      <c r="AR12" s="20" t="n"/>
      <c r="AS12" s="20" t="n"/>
      <c r="AT12" s="20" t="n"/>
      <c r="AU12" s="20" t="n"/>
      <c r="AV12" s="20" t="n"/>
      <c r="AW12" s="20" t="n"/>
      <c r="AX12" s="20" t="n"/>
    </row>
    <row r="13">
      <c r="A13" t="inlineStr">
        <is>
          <t>Avg India loaded comp — Actual</t>
        </is>
      </c>
      <c r="B13" s="5" t="inlineStr">
        <is>
          <t>$K/yr · central (PlanIt)</t>
        </is>
      </c>
      <c r="C13" s="20" t="n"/>
      <c r="D13" s="20" t="n"/>
      <c r="E13" s="20" t="n"/>
      <c r="F13" s="20" t="n"/>
      <c r="G13" s="20" t="n"/>
      <c r="H13" s="20" t="n"/>
      <c r="I13" s="20" t="n"/>
      <c r="J13" s="20" t="n"/>
      <c r="K13" s="20" t="n"/>
      <c r="L13" s="20" t="n"/>
      <c r="M13" s="20" t="n"/>
      <c r="N13" s="20" t="n"/>
      <c r="O13" s="20" t="n"/>
      <c r="P13" s="20" t="n"/>
      <c r="Q13" s="20" t="n"/>
      <c r="R13" s="20" t="n"/>
      <c r="S13" s="20" t="n"/>
      <c r="T13" s="20" t="n"/>
      <c r="U13" s="20" t="n"/>
      <c r="V13" s="20" t="n"/>
      <c r="W13" s="20" t="n"/>
      <c r="X13" s="20" t="n"/>
      <c r="Y13" s="20" t="n"/>
      <c r="Z13" s="20" t="n"/>
      <c r="AA13" s="20" t="n"/>
      <c r="AB13" s="20" t="n"/>
      <c r="AC13" s="20" t="n"/>
      <c r="AD13" s="20" t="n"/>
      <c r="AE13" s="20" t="n"/>
      <c r="AF13" s="20" t="n"/>
      <c r="AG13" s="20" t="n"/>
      <c r="AH13" s="20" t="n"/>
      <c r="AI13" s="20" t="n"/>
      <c r="AJ13" s="20" t="n"/>
      <c r="AK13" s="20" t="n"/>
      <c r="AL13" s="20" t="n"/>
      <c r="AM13" s="20" t="n"/>
      <c r="AN13" s="20" t="n"/>
      <c r="AO13" s="20" t="n"/>
      <c r="AP13" s="20" t="n"/>
      <c r="AQ13" s="20" t="n"/>
      <c r="AR13" s="20" t="n"/>
      <c r="AS13" s="20" t="n"/>
      <c r="AT13" s="20" t="n"/>
      <c r="AU13" s="20" t="n"/>
      <c r="AV13" s="20" t="n"/>
      <c r="AW13" s="20" t="n"/>
      <c r="AX13" s="20" t="n"/>
    </row>
    <row r="14">
      <c r="A14" t="inlineStr">
        <is>
          <t>India attrition in month</t>
        </is>
      </c>
      <c r="B14" s="5" t="inlineStr">
        <is>
          <t>heads · central (HR)</t>
        </is>
      </c>
      <c r="C14" s="18" t="n"/>
      <c r="D14" s="18" t="n"/>
      <c r="E14" s="18" t="n"/>
      <c r="F14" s="18" t="n"/>
      <c r="G14" s="18" t="n"/>
      <c r="H14" s="18" t="n"/>
      <c r="I14" s="18" t="n"/>
      <c r="J14" s="18" t="n"/>
      <c r="K14" s="18" t="n"/>
      <c r="L14" s="18" t="n"/>
      <c r="M14" s="18" t="n"/>
      <c r="N14" s="18" t="n"/>
      <c r="O14" s="18" t="n"/>
      <c r="P14" s="18" t="n"/>
      <c r="Q14" s="18" t="n"/>
      <c r="R14" s="18" t="n"/>
      <c r="S14" s="18" t="n"/>
      <c r="T14" s="18" t="n"/>
      <c r="U14" s="18" t="n"/>
      <c r="V14" s="18" t="n"/>
      <c r="W14" s="18" t="n"/>
      <c r="X14" s="18" t="n"/>
      <c r="Y14" s="18" t="n"/>
      <c r="Z14" s="18" t="n"/>
      <c r="AA14" s="18" t="n"/>
      <c r="AB14" s="18" t="n"/>
      <c r="AC14" s="18" t="n"/>
      <c r="AD14" s="18" t="n"/>
      <c r="AE14" s="18" t="n"/>
      <c r="AF14" s="18" t="n"/>
      <c r="AG14" s="18" t="n"/>
      <c r="AH14" s="18" t="n"/>
      <c r="AI14" s="18" t="n"/>
      <c r="AJ14" s="18" t="n"/>
      <c r="AK14" s="18" t="n"/>
      <c r="AL14" s="18" t="n"/>
      <c r="AM14" s="18" t="n"/>
      <c r="AN14" s="18" t="n"/>
      <c r="AO14" s="18" t="n"/>
      <c r="AP14" s="18" t="n"/>
      <c r="AQ14" s="18" t="n"/>
      <c r="AR14" s="18" t="n"/>
      <c r="AS14" s="18" t="n"/>
      <c r="AT14" s="18" t="n"/>
      <c r="AU14" s="18" t="n"/>
      <c r="AV14" s="18" t="n"/>
      <c r="AW14" s="18" t="n"/>
      <c r="AX14" s="18" t="n"/>
    </row>
    <row r="15">
      <c r="A15" t="inlineStr">
        <is>
          <t>% of India hires fully productive</t>
        </is>
      </c>
      <c r="B15" s="5" t="inlineStr">
        <is>
          <t>% · org input</t>
        </is>
      </c>
      <c r="C15" s="21" t="n"/>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c r="AA15" s="21" t="n"/>
      <c r="AB15" s="21" t="n"/>
      <c r="AC15" s="21" t="n"/>
      <c r="AD15" s="21" t="n"/>
      <c r="AE15" s="21" t="n"/>
      <c r="AF15" s="21" t="n"/>
      <c r="AG15" s="21" t="n"/>
      <c r="AH15" s="21" t="n"/>
      <c r="AI15" s="21" t="n"/>
      <c r="AJ15" s="21" t="n"/>
      <c r="AK15" s="21" t="n"/>
      <c r="AL15" s="21" t="n"/>
      <c r="AM15" s="21" t="n"/>
      <c r="AN15" s="21" t="n"/>
      <c r="AO15" s="21" t="n"/>
      <c r="AP15" s="21" t="n"/>
      <c r="AQ15" s="21" t="n"/>
      <c r="AR15" s="21" t="n"/>
      <c r="AS15" s="21" t="n"/>
      <c r="AT15" s="21" t="n"/>
      <c r="AU15" s="21" t="n"/>
      <c r="AV15" s="21" t="n"/>
      <c r="AW15" s="21" t="n"/>
      <c r="AX15" s="21" t="n"/>
    </row>
    <row r="16">
      <c r="A16" s="11" t="inlineStr">
        <is>
          <t>B.  GROSS REDUCTIONS REALIZED IN PERIOD</t>
        </is>
      </c>
      <c r="B16" s="16" t="inlineStr"/>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row>
    <row r="17">
      <c r="A17" t="inlineStr">
        <is>
          <t>Professional services — Target</t>
        </is>
      </c>
      <c r="B17" s="5" t="inlineStr">
        <is>
          <t>$K · linked</t>
        </is>
      </c>
      <c r="C17" s="22">
        <f>Targets!C72</f>
        <v/>
      </c>
      <c r="D17" s="22">
        <f>Targets!D72</f>
        <v/>
      </c>
      <c r="E17" s="22">
        <f>Targets!E72</f>
        <v/>
      </c>
      <c r="F17" s="22">
        <f>Targets!F72</f>
        <v/>
      </c>
      <c r="G17" s="22">
        <f>Targets!G72</f>
        <v/>
      </c>
      <c r="H17" s="22">
        <f>Targets!H72</f>
        <v/>
      </c>
      <c r="I17" s="22">
        <f>Targets!I72</f>
        <v/>
      </c>
      <c r="J17" s="22">
        <f>Targets!J72</f>
        <v/>
      </c>
      <c r="K17" s="22">
        <f>Targets!K72</f>
        <v/>
      </c>
      <c r="L17" s="22">
        <f>Targets!L72</f>
        <v/>
      </c>
      <c r="M17" s="22">
        <f>Targets!M72</f>
        <v/>
      </c>
      <c r="N17" s="22">
        <f>Targets!N72</f>
        <v/>
      </c>
      <c r="O17" s="22">
        <f>Targets!O72</f>
        <v/>
      </c>
      <c r="P17" s="22">
        <f>Targets!P72</f>
        <v/>
      </c>
      <c r="Q17" s="22">
        <f>Targets!Q72</f>
        <v/>
      </c>
      <c r="R17" s="22">
        <f>Targets!R72</f>
        <v/>
      </c>
      <c r="S17" s="22">
        <f>Targets!S72</f>
        <v/>
      </c>
      <c r="T17" s="22">
        <f>Targets!T72</f>
        <v/>
      </c>
      <c r="U17" s="22">
        <f>Targets!U72</f>
        <v/>
      </c>
      <c r="V17" s="22">
        <f>Targets!V72</f>
        <v/>
      </c>
      <c r="W17" s="22">
        <f>Targets!W72</f>
        <v/>
      </c>
      <c r="X17" s="22">
        <f>Targets!X72</f>
        <v/>
      </c>
      <c r="Y17" s="22">
        <f>Targets!Y72</f>
        <v/>
      </c>
      <c r="Z17" s="22">
        <f>Targets!Z72</f>
        <v/>
      </c>
      <c r="AA17" s="22">
        <f>Targets!AA72</f>
        <v/>
      </c>
      <c r="AB17" s="22">
        <f>Targets!AB72</f>
        <v/>
      </c>
      <c r="AC17" s="22">
        <f>Targets!AC72</f>
        <v/>
      </c>
      <c r="AD17" s="22">
        <f>Targets!AD72</f>
        <v/>
      </c>
      <c r="AE17" s="22">
        <f>Targets!AE72</f>
        <v/>
      </c>
      <c r="AF17" s="22">
        <f>Targets!AF72</f>
        <v/>
      </c>
      <c r="AG17" s="22">
        <f>Targets!AG72</f>
        <v/>
      </c>
      <c r="AH17" s="22">
        <f>Targets!AH72</f>
        <v/>
      </c>
      <c r="AI17" s="22">
        <f>Targets!AI72</f>
        <v/>
      </c>
      <c r="AJ17" s="22">
        <f>Targets!AJ72</f>
        <v/>
      </c>
      <c r="AK17" s="22">
        <f>Targets!AK72</f>
        <v/>
      </c>
      <c r="AL17" s="22">
        <f>Targets!AL72</f>
        <v/>
      </c>
      <c r="AM17" s="22">
        <f>Targets!AM72</f>
        <v/>
      </c>
      <c r="AN17" s="22">
        <f>Targets!AN72</f>
        <v/>
      </c>
      <c r="AO17" s="22">
        <f>Targets!AO72</f>
        <v/>
      </c>
      <c r="AP17" s="22">
        <f>Targets!AP72</f>
        <v/>
      </c>
      <c r="AQ17" s="22">
        <f>Targets!AQ72</f>
        <v/>
      </c>
      <c r="AR17" s="22">
        <f>Targets!AR72</f>
        <v/>
      </c>
      <c r="AS17" s="22">
        <f>Targets!AS72</f>
        <v/>
      </c>
      <c r="AT17" s="22">
        <f>Targets!AT72</f>
        <v/>
      </c>
      <c r="AU17" s="22">
        <f>Targets!AU72</f>
        <v/>
      </c>
      <c r="AV17" s="22">
        <f>Targets!AV72</f>
        <v/>
      </c>
      <c r="AW17" s="22">
        <f>Targets!AW72</f>
        <v/>
      </c>
      <c r="AX17" s="22">
        <f>Targets!AX72</f>
        <v/>
      </c>
    </row>
    <row r="18">
      <c r="A18" t="inlineStr">
        <is>
          <t>Professional services — Actual</t>
        </is>
      </c>
      <c r="B18" s="5" t="inlineStr">
        <is>
          <t>$K · org input</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row>
    <row r="19">
      <c r="A19" t="inlineStr">
        <is>
          <t>Offshore contractors — Target</t>
        </is>
      </c>
      <c r="B19" s="5" t="inlineStr">
        <is>
          <t>$K · linked</t>
        </is>
      </c>
      <c r="C19" s="22">
        <f>Targets!C73</f>
        <v/>
      </c>
      <c r="D19" s="22">
        <f>Targets!D73</f>
        <v/>
      </c>
      <c r="E19" s="22">
        <f>Targets!E73</f>
        <v/>
      </c>
      <c r="F19" s="22">
        <f>Targets!F73</f>
        <v/>
      </c>
      <c r="G19" s="22">
        <f>Targets!G73</f>
        <v/>
      </c>
      <c r="H19" s="22">
        <f>Targets!H73</f>
        <v/>
      </c>
      <c r="I19" s="22">
        <f>Targets!I73</f>
        <v/>
      </c>
      <c r="J19" s="22">
        <f>Targets!J73</f>
        <v/>
      </c>
      <c r="K19" s="22">
        <f>Targets!K73</f>
        <v/>
      </c>
      <c r="L19" s="22">
        <f>Targets!L73</f>
        <v/>
      </c>
      <c r="M19" s="22">
        <f>Targets!M73</f>
        <v/>
      </c>
      <c r="N19" s="22">
        <f>Targets!N73</f>
        <v/>
      </c>
      <c r="O19" s="22">
        <f>Targets!O73</f>
        <v/>
      </c>
      <c r="P19" s="22">
        <f>Targets!P73</f>
        <v/>
      </c>
      <c r="Q19" s="22">
        <f>Targets!Q73</f>
        <v/>
      </c>
      <c r="R19" s="22">
        <f>Targets!R73</f>
        <v/>
      </c>
      <c r="S19" s="22">
        <f>Targets!S73</f>
        <v/>
      </c>
      <c r="T19" s="22">
        <f>Targets!T73</f>
        <v/>
      </c>
      <c r="U19" s="22">
        <f>Targets!U73</f>
        <v/>
      </c>
      <c r="V19" s="22">
        <f>Targets!V73</f>
        <v/>
      </c>
      <c r="W19" s="22">
        <f>Targets!W73</f>
        <v/>
      </c>
      <c r="X19" s="22">
        <f>Targets!X73</f>
        <v/>
      </c>
      <c r="Y19" s="22">
        <f>Targets!Y73</f>
        <v/>
      </c>
      <c r="Z19" s="22">
        <f>Targets!Z73</f>
        <v/>
      </c>
      <c r="AA19" s="22">
        <f>Targets!AA73</f>
        <v/>
      </c>
      <c r="AB19" s="22">
        <f>Targets!AB73</f>
        <v/>
      </c>
      <c r="AC19" s="22">
        <f>Targets!AC73</f>
        <v/>
      </c>
      <c r="AD19" s="22">
        <f>Targets!AD73</f>
        <v/>
      </c>
      <c r="AE19" s="22">
        <f>Targets!AE73</f>
        <v/>
      </c>
      <c r="AF19" s="22">
        <f>Targets!AF73</f>
        <v/>
      </c>
      <c r="AG19" s="22">
        <f>Targets!AG73</f>
        <v/>
      </c>
      <c r="AH19" s="22">
        <f>Targets!AH73</f>
        <v/>
      </c>
      <c r="AI19" s="22">
        <f>Targets!AI73</f>
        <v/>
      </c>
      <c r="AJ19" s="22">
        <f>Targets!AJ73</f>
        <v/>
      </c>
      <c r="AK19" s="22">
        <f>Targets!AK73</f>
        <v/>
      </c>
      <c r="AL19" s="22">
        <f>Targets!AL73</f>
        <v/>
      </c>
      <c r="AM19" s="22">
        <f>Targets!AM73</f>
        <v/>
      </c>
      <c r="AN19" s="22">
        <f>Targets!AN73</f>
        <v/>
      </c>
      <c r="AO19" s="22">
        <f>Targets!AO73</f>
        <v/>
      </c>
      <c r="AP19" s="22">
        <f>Targets!AP73</f>
        <v/>
      </c>
      <c r="AQ19" s="22">
        <f>Targets!AQ73</f>
        <v/>
      </c>
      <c r="AR19" s="22">
        <f>Targets!AR73</f>
        <v/>
      </c>
      <c r="AS19" s="22">
        <f>Targets!AS73</f>
        <v/>
      </c>
      <c r="AT19" s="22">
        <f>Targets!AT73</f>
        <v/>
      </c>
      <c r="AU19" s="22">
        <f>Targets!AU73</f>
        <v/>
      </c>
      <c r="AV19" s="22">
        <f>Targets!AV73</f>
        <v/>
      </c>
      <c r="AW19" s="22">
        <f>Targets!AW73</f>
        <v/>
      </c>
      <c r="AX19" s="22">
        <f>Targets!AX73</f>
        <v/>
      </c>
    </row>
    <row r="20">
      <c r="A20" t="inlineStr">
        <is>
          <t>Offshore contractors — Actual</t>
        </is>
      </c>
      <c r="B20" s="5" t="inlineStr">
        <is>
          <t>$K · org input</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row>
    <row r="21">
      <c r="A21" t="inlineStr">
        <is>
          <t>Onshore contractors — Target</t>
        </is>
      </c>
      <c r="B21" s="5" t="inlineStr">
        <is>
          <t>$K · linked</t>
        </is>
      </c>
      <c r="C21" s="22">
        <f>Targets!C74</f>
        <v/>
      </c>
      <c r="D21" s="22">
        <f>Targets!D74</f>
        <v/>
      </c>
      <c r="E21" s="22">
        <f>Targets!E74</f>
        <v/>
      </c>
      <c r="F21" s="22">
        <f>Targets!F74</f>
        <v/>
      </c>
      <c r="G21" s="22">
        <f>Targets!G74</f>
        <v/>
      </c>
      <c r="H21" s="22">
        <f>Targets!H74</f>
        <v/>
      </c>
      <c r="I21" s="22">
        <f>Targets!I74</f>
        <v/>
      </c>
      <c r="J21" s="22">
        <f>Targets!J74</f>
        <v/>
      </c>
      <c r="K21" s="22">
        <f>Targets!K74</f>
        <v/>
      </c>
      <c r="L21" s="22">
        <f>Targets!L74</f>
        <v/>
      </c>
      <c r="M21" s="22">
        <f>Targets!M74</f>
        <v/>
      </c>
      <c r="N21" s="22">
        <f>Targets!N74</f>
        <v/>
      </c>
      <c r="O21" s="22">
        <f>Targets!O74</f>
        <v/>
      </c>
      <c r="P21" s="22">
        <f>Targets!P74</f>
        <v/>
      </c>
      <c r="Q21" s="22">
        <f>Targets!Q74</f>
        <v/>
      </c>
      <c r="R21" s="22">
        <f>Targets!R74</f>
        <v/>
      </c>
      <c r="S21" s="22">
        <f>Targets!S74</f>
        <v/>
      </c>
      <c r="T21" s="22">
        <f>Targets!T74</f>
        <v/>
      </c>
      <c r="U21" s="22">
        <f>Targets!U74</f>
        <v/>
      </c>
      <c r="V21" s="22">
        <f>Targets!V74</f>
        <v/>
      </c>
      <c r="W21" s="22">
        <f>Targets!W74</f>
        <v/>
      </c>
      <c r="X21" s="22">
        <f>Targets!X74</f>
        <v/>
      </c>
      <c r="Y21" s="22">
        <f>Targets!Y74</f>
        <v/>
      </c>
      <c r="Z21" s="22">
        <f>Targets!Z74</f>
        <v/>
      </c>
      <c r="AA21" s="22">
        <f>Targets!AA74</f>
        <v/>
      </c>
      <c r="AB21" s="22">
        <f>Targets!AB74</f>
        <v/>
      </c>
      <c r="AC21" s="22">
        <f>Targets!AC74</f>
        <v/>
      </c>
      <c r="AD21" s="22">
        <f>Targets!AD74</f>
        <v/>
      </c>
      <c r="AE21" s="22">
        <f>Targets!AE74</f>
        <v/>
      </c>
      <c r="AF21" s="22">
        <f>Targets!AF74</f>
        <v/>
      </c>
      <c r="AG21" s="22">
        <f>Targets!AG74</f>
        <v/>
      </c>
      <c r="AH21" s="22">
        <f>Targets!AH74</f>
        <v/>
      </c>
      <c r="AI21" s="22">
        <f>Targets!AI74</f>
        <v/>
      </c>
      <c r="AJ21" s="22">
        <f>Targets!AJ74</f>
        <v/>
      </c>
      <c r="AK21" s="22">
        <f>Targets!AK74</f>
        <v/>
      </c>
      <c r="AL21" s="22">
        <f>Targets!AL74</f>
        <v/>
      </c>
      <c r="AM21" s="22">
        <f>Targets!AM74</f>
        <v/>
      </c>
      <c r="AN21" s="22">
        <f>Targets!AN74</f>
        <v/>
      </c>
      <c r="AO21" s="22">
        <f>Targets!AO74</f>
        <v/>
      </c>
      <c r="AP21" s="22">
        <f>Targets!AP74</f>
        <v/>
      </c>
      <c r="AQ21" s="22">
        <f>Targets!AQ74</f>
        <v/>
      </c>
      <c r="AR21" s="22">
        <f>Targets!AR74</f>
        <v/>
      </c>
      <c r="AS21" s="22">
        <f>Targets!AS74</f>
        <v/>
      </c>
      <c r="AT21" s="22">
        <f>Targets!AT74</f>
        <v/>
      </c>
      <c r="AU21" s="22">
        <f>Targets!AU74</f>
        <v/>
      </c>
      <c r="AV21" s="22">
        <f>Targets!AV74</f>
        <v/>
      </c>
      <c r="AW21" s="22">
        <f>Targets!AW74</f>
        <v/>
      </c>
      <c r="AX21" s="22">
        <f>Targets!AX74</f>
        <v/>
      </c>
    </row>
    <row r="22">
      <c r="A22" t="inlineStr">
        <is>
          <t>Onshore contractors — Actual</t>
        </is>
      </c>
      <c r="B22" s="5" t="inlineStr">
        <is>
          <t>$K · org input</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row>
    <row r="23">
      <c r="A23" t="inlineStr">
        <is>
          <t>Employees / Other — Target</t>
        </is>
      </c>
      <c r="B23" s="5" t="inlineStr">
        <is>
          <t>$K · linked</t>
        </is>
      </c>
      <c r="C23" s="22">
        <f>Targets!C75</f>
        <v/>
      </c>
      <c r="D23" s="22">
        <f>Targets!D75</f>
        <v/>
      </c>
      <c r="E23" s="22">
        <f>Targets!E75</f>
        <v/>
      </c>
      <c r="F23" s="22">
        <f>Targets!F75</f>
        <v/>
      </c>
      <c r="G23" s="22">
        <f>Targets!G75</f>
        <v/>
      </c>
      <c r="H23" s="22">
        <f>Targets!H75</f>
        <v/>
      </c>
      <c r="I23" s="22">
        <f>Targets!I75</f>
        <v/>
      </c>
      <c r="J23" s="22">
        <f>Targets!J75</f>
        <v/>
      </c>
      <c r="K23" s="22">
        <f>Targets!K75</f>
        <v/>
      </c>
      <c r="L23" s="22">
        <f>Targets!L75</f>
        <v/>
      </c>
      <c r="M23" s="22">
        <f>Targets!M75</f>
        <v/>
      </c>
      <c r="N23" s="22">
        <f>Targets!N75</f>
        <v/>
      </c>
      <c r="O23" s="22">
        <f>Targets!O75</f>
        <v/>
      </c>
      <c r="P23" s="22">
        <f>Targets!P75</f>
        <v/>
      </c>
      <c r="Q23" s="22">
        <f>Targets!Q75</f>
        <v/>
      </c>
      <c r="R23" s="22">
        <f>Targets!R75</f>
        <v/>
      </c>
      <c r="S23" s="22">
        <f>Targets!S75</f>
        <v/>
      </c>
      <c r="T23" s="22">
        <f>Targets!T75</f>
        <v/>
      </c>
      <c r="U23" s="22">
        <f>Targets!U75</f>
        <v/>
      </c>
      <c r="V23" s="22">
        <f>Targets!V75</f>
        <v/>
      </c>
      <c r="W23" s="22">
        <f>Targets!W75</f>
        <v/>
      </c>
      <c r="X23" s="22">
        <f>Targets!X75</f>
        <v/>
      </c>
      <c r="Y23" s="22">
        <f>Targets!Y75</f>
        <v/>
      </c>
      <c r="Z23" s="22">
        <f>Targets!Z75</f>
        <v/>
      </c>
      <c r="AA23" s="22">
        <f>Targets!AA75</f>
        <v/>
      </c>
      <c r="AB23" s="22">
        <f>Targets!AB75</f>
        <v/>
      </c>
      <c r="AC23" s="22">
        <f>Targets!AC75</f>
        <v/>
      </c>
      <c r="AD23" s="22">
        <f>Targets!AD75</f>
        <v/>
      </c>
      <c r="AE23" s="22">
        <f>Targets!AE75</f>
        <v/>
      </c>
      <c r="AF23" s="22">
        <f>Targets!AF75</f>
        <v/>
      </c>
      <c r="AG23" s="22">
        <f>Targets!AG75</f>
        <v/>
      </c>
      <c r="AH23" s="22">
        <f>Targets!AH75</f>
        <v/>
      </c>
      <c r="AI23" s="22">
        <f>Targets!AI75</f>
        <v/>
      </c>
      <c r="AJ23" s="22">
        <f>Targets!AJ75</f>
        <v/>
      </c>
      <c r="AK23" s="22">
        <f>Targets!AK75</f>
        <v/>
      </c>
      <c r="AL23" s="22">
        <f>Targets!AL75</f>
        <v/>
      </c>
      <c r="AM23" s="22">
        <f>Targets!AM75</f>
        <v/>
      </c>
      <c r="AN23" s="22">
        <f>Targets!AN75</f>
        <v/>
      </c>
      <c r="AO23" s="22">
        <f>Targets!AO75</f>
        <v/>
      </c>
      <c r="AP23" s="22">
        <f>Targets!AP75</f>
        <v/>
      </c>
      <c r="AQ23" s="22">
        <f>Targets!AQ75</f>
        <v/>
      </c>
      <c r="AR23" s="22">
        <f>Targets!AR75</f>
        <v/>
      </c>
      <c r="AS23" s="22">
        <f>Targets!AS75</f>
        <v/>
      </c>
      <c r="AT23" s="22">
        <f>Targets!AT75</f>
        <v/>
      </c>
      <c r="AU23" s="22">
        <f>Targets!AU75</f>
        <v/>
      </c>
      <c r="AV23" s="22">
        <f>Targets!AV75</f>
        <v/>
      </c>
      <c r="AW23" s="22">
        <f>Targets!AW75</f>
        <v/>
      </c>
      <c r="AX23" s="22">
        <f>Targets!AX75</f>
        <v/>
      </c>
    </row>
    <row r="24">
      <c r="A24" t="inlineStr">
        <is>
          <t>Employees / Other — Actual</t>
        </is>
      </c>
      <c r="B24" s="5" t="inlineStr">
        <is>
          <t>$K · org input</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row>
    <row r="25">
      <c r="A25" t="inlineStr">
        <is>
          <t>Total gross reductions — Target</t>
        </is>
      </c>
      <c r="B25" s="5" t="inlineStr">
        <is>
          <t>$K · auto</t>
        </is>
      </c>
      <c r="C25" s="15">
        <f>C17+C19+C21+C23</f>
        <v/>
      </c>
      <c r="D25" s="15">
        <f>D17+D19+D21+D23</f>
        <v/>
      </c>
      <c r="E25" s="15">
        <f>E17+E19+E21+E23</f>
        <v/>
      </c>
      <c r="F25" s="15">
        <f>F17+F19+F21+F23</f>
        <v/>
      </c>
      <c r="G25" s="15">
        <f>G17+G19+G21+G23</f>
        <v/>
      </c>
      <c r="H25" s="15">
        <f>H17+H19+H21+H23</f>
        <v/>
      </c>
      <c r="I25" s="15">
        <f>I17+I19+I21+I23</f>
        <v/>
      </c>
      <c r="J25" s="15">
        <f>J17+J19+J21+J23</f>
        <v/>
      </c>
      <c r="K25" s="15">
        <f>K17+K19+K21+K23</f>
        <v/>
      </c>
      <c r="L25" s="15">
        <f>L17+L19+L21+L23</f>
        <v/>
      </c>
      <c r="M25" s="15">
        <f>M17+M19+M21+M23</f>
        <v/>
      </c>
      <c r="N25" s="15">
        <f>N17+N19+N21+N23</f>
        <v/>
      </c>
      <c r="O25" s="15">
        <f>O17+O19+O21+O23</f>
        <v/>
      </c>
      <c r="P25" s="15">
        <f>P17+P19+P21+P23</f>
        <v/>
      </c>
      <c r="Q25" s="15">
        <f>Q17+Q19+Q21+Q23</f>
        <v/>
      </c>
      <c r="R25" s="15">
        <f>R17+R19+R21+R23</f>
        <v/>
      </c>
      <c r="S25" s="15">
        <f>S17+S19+S21+S23</f>
        <v/>
      </c>
      <c r="T25" s="15">
        <f>T17+T19+T21+T23</f>
        <v/>
      </c>
      <c r="U25" s="15">
        <f>U17+U19+U21+U23</f>
        <v/>
      </c>
      <c r="V25" s="15">
        <f>V17+V19+V21+V23</f>
        <v/>
      </c>
      <c r="W25" s="15">
        <f>W17+W19+W21+W23</f>
        <v/>
      </c>
      <c r="X25" s="15">
        <f>X17+X19+X21+X23</f>
        <v/>
      </c>
      <c r="Y25" s="15">
        <f>Y17+Y19+Y21+Y23</f>
        <v/>
      </c>
      <c r="Z25" s="15">
        <f>Z17+Z19+Z21+Z23</f>
        <v/>
      </c>
      <c r="AA25" s="15">
        <f>AA17+AA19+AA21+AA23</f>
        <v/>
      </c>
      <c r="AB25" s="15">
        <f>AB17+AB19+AB21+AB23</f>
        <v/>
      </c>
      <c r="AC25" s="15">
        <f>AC17+AC19+AC21+AC23</f>
        <v/>
      </c>
      <c r="AD25" s="15">
        <f>AD17+AD19+AD21+AD23</f>
        <v/>
      </c>
      <c r="AE25" s="15">
        <f>AE17+AE19+AE21+AE23</f>
        <v/>
      </c>
      <c r="AF25" s="15">
        <f>AF17+AF19+AF21+AF23</f>
        <v/>
      </c>
      <c r="AG25" s="15">
        <f>AG17+AG19+AG21+AG23</f>
        <v/>
      </c>
      <c r="AH25" s="15">
        <f>AH17+AH19+AH21+AH23</f>
        <v/>
      </c>
      <c r="AI25" s="15">
        <f>AI17+AI19+AI21+AI23</f>
        <v/>
      </c>
      <c r="AJ25" s="15">
        <f>AJ17+AJ19+AJ21+AJ23</f>
        <v/>
      </c>
      <c r="AK25" s="15">
        <f>AK17+AK19+AK21+AK23</f>
        <v/>
      </c>
      <c r="AL25" s="15">
        <f>AL17+AL19+AL21+AL23</f>
        <v/>
      </c>
      <c r="AM25" s="15">
        <f>AM17+AM19+AM21+AM23</f>
        <v/>
      </c>
      <c r="AN25" s="15">
        <f>AN17+AN19+AN21+AN23</f>
        <v/>
      </c>
      <c r="AO25" s="15">
        <f>AO17+AO19+AO21+AO23</f>
        <v/>
      </c>
      <c r="AP25" s="15">
        <f>AP17+AP19+AP21+AP23</f>
        <v/>
      </c>
      <c r="AQ25" s="15">
        <f>AQ17+AQ19+AQ21+AQ23</f>
        <v/>
      </c>
      <c r="AR25" s="15">
        <f>AR17+AR19+AR21+AR23</f>
        <v/>
      </c>
      <c r="AS25" s="15">
        <f>AS17+AS19+AS21+AS23</f>
        <v/>
      </c>
      <c r="AT25" s="15">
        <f>AT17+AT19+AT21+AT23</f>
        <v/>
      </c>
      <c r="AU25" s="15">
        <f>AU17+AU19+AU21+AU23</f>
        <v/>
      </c>
      <c r="AV25" s="15">
        <f>AV17+AV19+AV21+AV23</f>
        <v/>
      </c>
      <c r="AW25" s="15">
        <f>AW17+AW19+AW21+AW23</f>
        <v/>
      </c>
      <c r="AX25" s="15">
        <f>AX17+AX19+AX21+AX23</f>
        <v/>
      </c>
    </row>
    <row r="26">
      <c r="A26" t="inlineStr">
        <is>
          <t>Total gross reductions — Actual</t>
        </is>
      </c>
      <c r="B26" s="5" t="inlineStr">
        <is>
          <t>$K · auto</t>
        </is>
      </c>
      <c r="C26" s="15">
        <f>C18+C20+C22+C24</f>
        <v/>
      </c>
      <c r="D26" s="15">
        <f>D18+D20+D22+D24</f>
        <v/>
      </c>
      <c r="E26" s="15">
        <f>E18+E20+E22+E24</f>
        <v/>
      </c>
      <c r="F26" s="15">
        <f>F18+F20+F22+F24</f>
        <v/>
      </c>
      <c r="G26" s="15">
        <f>G18+G20+G22+G24</f>
        <v/>
      </c>
      <c r="H26" s="15">
        <f>H18+H20+H22+H24</f>
        <v/>
      </c>
      <c r="I26" s="15">
        <f>I18+I20+I22+I24</f>
        <v/>
      </c>
      <c r="J26" s="15">
        <f>J18+J20+J22+J24</f>
        <v/>
      </c>
      <c r="K26" s="15">
        <f>K18+K20+K22+K24</f>
        <v/>
      </c>
      <c r="L26" s="15">
        <f>L18+L20+L22+L24</f>
        <v/>
      </c>
      <c r="M26" s="15">
        <f>M18+M20+M22+M24</f>
        <v/>
      </c>
      <c r="N26" s="15">
        <f>N18+N20+N22+N24</f>
        <v/>
      </c>
      <c r="O26" s="15">
        <f>O18+O20+O22+O24</f>
        <v/>
      </c>
      <c r="P26" s="15">
        <f>P18+P20+P22+P24</f>
        <v/>
      </c>
      <c r="Q26" s="15">
        <f>Q18+Q20+Q22+Q24</f>
        <v/>
      </c>
      <c r="R26" s="15">
        <f>R18+R20+R22+R24</f>
        <v/>
      </c>
      <c r="S26" s="15">
        <f>S18+S20+S22+S24</f>
        <v/>
      </c>
      <c r="T26" s="15">
        <f>T18+T20+T22+T24</f>
        <v/>
      </c>
      <c r="U26" s="15">
        <f>U18+U20+U22+U24</f>
        <v/>
      </c>
      <c r="V26" s="15">
        <f>V18+V20+V22+V24</f>
        <v/>
      </c>
      <c r="W26" s="15">
        <f>W18+W20+W22+W24</f>
        <v/>
      </c>
      <c r="X26" s="15">
        <f>X18+X20+X22+X24</f>
        <v/>
      </c>
      <c r="Y26" s="15">
        <f>Y18+Y20+Y22+Y24</f>
        <v/>
      </c>
      <c r="Z26" s="15">
        <f>Z18+Z20+Z22+Z24</f>
        <v/>
      </c>
      <c r="AA26" s="15">
        <f>AA18+AA20+AA22+AA24</f>
        <v/>
      </c>
      <c r="AB26" s="15">
        <f>AB18+AB20+AB22+AB24</f>
        <v/>
      </c>
      <c r="AC26" s="15">
        <f>AC18+AC20+AC22+AC24</f>
        <v/>
      </c>
      <c r="AD26" s="15">
        <f>AD18+AD20+AD22+AD24</f>
        <v/>
      </c>
      <c r="AE26" s="15">
        <f>AE18+AE20+AE22+AE24</f>
        <v/>
      </c>
      <c r="AF26" s="15">
        <f>AF18+AF20+AF22+AF24</f>
        <v/>
      </c>
      <c r="AG26" s="15">
        <f>AG18+AG20+AG22+AG24</f>
        <v/>
      </c>
      <c r="AH26" s="15">
        <f>AH18+AH20+AH22+AH24</f>
        <v/>
      </c>
      <c r="AI26" s="15">
        <f>AI18+AI20+AI22+AI24</f>
        <v/>
      </c>
      <c r="AJ26" s="15">
        <f>AJ18+AJ20+AJ22+AJ24</f>
        <v/>
      </c>
      <c r="AK26" s="15">
        <f>AK18+AK20+AK22+AK24</f>
        <v/>
      </c>
      <c r="AL26" s="15">
        <f>AL18+AL20+AL22+AL24</f>
        <v/>
      </c>
      <c r="AM26" s="15">
        <f>AM18+AM20+AM22+AM24</f>
        <v/>
      </c>
      <c r="AN26" s="15">
        <f>AN18+AN20+AN22+AN24</f>
        <v/>
      </c>
      <c r="AO26" s="15">
        <f>AO18+AO20+AO22+AO24</f>
        <v/>
      </c>
      <c r="AP26" s="15">
        <f>AP18+AP20+AP22+AP24</f>
        <v/>
      </c>
      <c r="AQ26" s="15">
        <f>AQ18+AQ20+AQ22+AQ24</f>
        <v/>
      </c>
      <c r="AR26" s="15">
        <f>AR18+AR20+AR22+AR24</f>
        <v/>
      </c>
      <c r="AS26" s="15">
        <f>AS18+AS20+AS22+AS24</f>
        <v/>
      </c>
      <c r="AT26" s="15">
        <f>AT18+AT20+AT22+AT24</f>
        <v/>
      </c>
      <c r="AU26" s="15">
        <f>AU18+AU20+AU22+AU24</f>
        <v/>
      </c>
      <c r="AV26" s="15">
        <f>AV18+AV20+AV22+AV24</f>
        <v/>
      </c>
      <c r="AW26" s="15">
        <f>AW18+AW20+AW22+AW24</f>
        <v/>
      </c>
      <c r="AX26" s="15">
        <f>AX18+AX20+AX22+AX24</f>
        <v/>
      </c>
    </row>
    <row r="27">
      <c r="A27" t="inlineStr">
        <is>
          <t>Gross reductions variance</t>
        </is>
      </c>
      <c r="B27" s="5" t="inlineStr">
        <is>
          <t>$K · auto</t>
        </is>
      </c>
      <c r="C27" s="24">
        <f>C26-C25</f>
        <v/>
      </c>
      <c r="D27" s="24">
        <f>D26-D25</f>
        <v/>
      </c>
      <c r="E27" s="24">
        <f>E26-E25</f>
        <v/>
      </c>
      <c r="F27" s="24">
        <f>F26-F25</f>
        <v/>
      </c>
      <c r="G27" s="24">
        <f>G26-G25</f>
        <v/>
      </c>
      <c r="H27" s="24">
        <f>H26-H25</f>
        <v/>
      </c>
      <c r="I27" s="24">
        <f>I26-I25</f>
        <v/>
      </c>
      <c r="J27" s="24">
        <f>J26-J25</f>
        <v/>
      </c>
      <c r="K27" s="24">
        <f>K26-K25</f>
        <v/>
      </c>
      <c r="L27" s="24">
        <f>L26-L25</f>
        <v/>
      </c>
      <c r="M27" s="24">
        <f>M26-M25</f>
        <v/>
      </c>
      <c r="N27" s="24">
        <f>N26-N25</f>
        <v/>
      </c>
      <c r="O27" s="24">
        <f>O26-O25</f>
        <v/>
      </c>
      <c r="P27" s="24">
        <f>P26-P25</f>
        <v/>
      </c>
      <c r="Q27" s="24">
        <f>Q26-Q25</f>
        <v/>
      </c>
      <c r="R27" s="24">
        <f>R26-R25</f>
        <v/>
      </c>
      <c r="S27" s="24">
        <f>S26-S25</f>
        <v/>
      </c>
      <c r="T27" s="24">
        <f>T26-T25</f>
        <v/>
      </c>
      <c r="U27" s="24">
        <f>U26-U25</f>
        <v/>
      </c>
      <c r="V27" s="24">
        <f>V26-V25</f>
        <v/>
      </c>
      <c r="W27" s="24">
        <f>W26-W25</f>
        <v/>
      </c>
      <c r="X27" s="24">
        <f>X26-X25</f>
        <v/>
      </c>
      <c r="Y27" s="24">
        <f>Y26-Y25</f>
        <v/>
      </c>
      <c r="Z27" s="24">
        <f>Z26-Z25</f>
        <v/>
      </c>
      <c r="AA27" s="24">
        <f>AA26-AA25</f>
        <v/>
      </c>
      <c r="AB27" s="24">
        <f>AB26-AB25</f>
        <v/>
      </c>
      <c r="AC27" s="24">
        <f>AC26-AC25</f>
        <v/>
      </c>
      <c r="AD27" s="24">
        <f>AD26-AD25</f>
        <v/>
      </c>
      <c r="AE27" s="24">
        <f>AE26-AE25</f>
        <v/>
      </c>
      <c r="AF27" s="24">
        <f>AF26-AF25</f>
        <v/>
      </c>
      <c r="AG27" s="24">
        <f>AG26-AG25</f>
        <v/>
      </c>
      <c r="AH27" s="24">
        <f>AH26-AH25</f>
        <v/>
      </c>
      <c r="AI27" s="24">
        <f>AI26-AI25</f>
        <v/>
      </c>
      <c r="AJ27" s="24">
        <f>AJ26-AJ25</f>
        <v/>
      </c>
      <c r="AK27" s="24">
        <f>AK26-AK25</f>
        <v/>
      </c>
      <c r="AL27" s="24">
        <f>AL26-AL25</f>
        <v/>
      </c>
      <c r="AM27" s="24">
        <f>AM26-AM25</f>
        <v/>
      </c>
      <c r="AN27" s="24">
        <f>AN26-AN25</f>
        <v/>
      </c>
      <c r="AO27" s="24">
        <f>AO26-AO25</f>
        <v/>
      </c>
      <c r="AP27" s="24">
        <f>AP26-AP25</f>
        <v/>
      </c>
      <c r="AQ27" s="24">
        <f>AQ26-AQ25</f>
        <v/>
      </c>
      <c r="AR27" s="24">
        <f>AR26-AR25</f>
        <v/>
      </c>
      <c r="AS27" s="24">
        <f>AS26-AS25</f>
        <v/>
      </c>
      <c r="AT27" s="24">
        <f>AT26-AT25</f>
        <v/>
      </c>
      <c r="AU27" s="24">
        <f>AU26-AU25</f>
        <v/>
      </c>
      <c r="AV27" s="24">
        <f>AV26-AV25</f>
        <v/>
      </c>
      <c r="AW27" s="24">
        <f>AW26-AW25</f>
        <v/>
      </c>
      <c r="AX27" s="24">
        <f>AX26-AX25</f>
        <v/>
      </c>
    </row>
    <row r="28">
      <c r="A28" t="inlineStr">
        <is>
          <t>Headcount reduced in month — Actual</t>
        </is>
      </c>
      <c r="B28" s="5" t="inlineStr">
        <is>
          <t>heads · org input</t>
        </is>
      </c>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c r="Z28" s="25" t="n"/>
      <c r="AA28" s="25" t="n"/>
      <c r="AB28" s="25" t="n"/>
      <c r="AC28" s="25" t="n"/>
      <c r="AD28" s="25" t="n"/>
      <c r="AE28" s="25" t="n"/>
      <c r="AF28" s="25" t="n"/>
      <c r="AG28" s="25" t="n"/>
      <c r="AH28" s="25" t="n"/>
      <c r="AI28" s="25" t="n"/>
      <c r="AJ28" s="25" t="n"/>
      <c r="AK28" s="25" t="n"/>
      <c r="AL28" s="25" t="n"/>
      <c r="AM28" s="25" t="n"/>
      <c r="AN28" s="25" t="n"/>
      <c r="AO28" s="25" t="n"/>
      <c r="AP28" s="25" t="n"/>
      <c r="AQ28" s="25" t="n"/>
      <c r="AR28" s="25" t="n"/>
      <c r="AS28" s="25" t="n"/>
      <c r="AT28" s="25" t="n"/>
      <c r="AU28" s="25" t="n"/>
      <c r="AV28" s="25" t="n"/>
      <c r="AW28" s="25" t="n"/>
      <c r="AX28" s="25" t="n"/>
    </row>
    <row r="29">
      <c r="A29" t="inlineStr">
        <is>
          <t>Exit run-rate of reductions (annualized)</t>
        </is>
      </c>
      <c r="B29" s="5" t="inlineStr">
        <is>
          <t>$K · org input</t>
        </is>
      </c>
      <c r="C29" s="23" t="n"/>
      <c r="D29" s="23" t="n"/>
      <c r="E29" s="23" t="n"/>
      <c r="F29" s="23" t="n"/>
      <c r="G29" s="23" t="n"/>
      <c r="H29" s="23" t="n"/>
      <c r="I29" s="23" t="n"/>
      <c r="J29" s="23" t="n"/>
      <c r="K29" s="23" t="n"/>
      <c r="L29" s="23" t="n"/>
      <c r="M29" s="23" t="n"/>
      <c r="N29" s="23" t="n"/>
      <c r="O29" s="23" t="n"/>
      <c r="P29" s="23" t="n"/>
      <c r="Q29" s="23" t="n"/>
      <c r="R29" s="23" t="n"/>
      <c r="S29" s="23" t="n"/>
      <c r="T29" s="23" t="n"/>
      <c r="U29" s="23" t="n"/>
      <c r="V29" s="23" t="n"/>
      <c r="W29" s="23" t="n"/>
      <c r="X29" s="23" t="n"/>
      <c r="Y29" s="23" t="n"/>
      <c r="Z29" s="23" t="n"/>
      <c r="AA29" s="23" t="n"/>
      <c r="AB29" s="23" t="n"/>
      <c r="AC29" s="23" t="n"/>
      <c r="AD29" s="23" t="n"/>
      <c r="AE29" s="23" t="n"/>
      <c r="AF29" s="23" t="n"/>
      <c r="AG29" s="23" t="n"/>
      <c r="AH29" s="23" t="n"/>
      <c r="AI29" s="23" t="n"/>
      <c r="AJ29" s="23" t="n"/>
      <c r="AK29" s="23" t="n"/>
      <c r="AL29" s="23" t="n"/>
      <c r="AM29" s="23" t="n"/>
      <c r="AN29" s="23" t="n"/>
      <c r="AO29" s="23" t="n"/>
      <c r="AP29" s="23" t="n"/>
      <c r="AQ29" s="23" t="n"/>
      <c r="AR29" s="23" t="n"/>
      <c r="AS29" s="23" t="n"/>
      <c r="AT29" s="23" t="n"/>
      <c r="AU29" s="23" t="n"/>
      <c r="AV29" s="23" t="n"/>
      <c r="AW29" s="23" t="n"/>
      <c r="AX29" s="23" t="n"/>
    </row>
    <row r="30">
      <c r="A30" s="11" t="inlineStr">
        <is>
          <t>C.  INDIA COST ADDS</t>
        </is>
      </c>
      <c r="B30" s="16" t="inlineStr"/>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row>
    <row r="31">
      <c r="A31" t="inlineStr">
        <is>
          <t>India loaded cost adds — Target</t>
        </is>
      </c>
      <c r="B31" s="5" t="inlineStr">
        <is>
          <t>$K · linked</t>
        </is>
      </c>
      <c r="C31" s="22">
        <f>Targets!C76</f>
        <v/>
      </c>
      <c r="D31" s="22">
        <f>Targets!D76</f>
        <v/>
      </c>
      <c r="E31" s="22">
        <f>Targets!E76</f>
        <v/>
      </c>
      <c r="F31" s="22">
        <f>Targets!F76</f>
        <v/>
      </c>
      <c r="G31" s="22">
        <f>Targets!G76</f>
        <v/>
      </c>
      <c r="H31" s="22">
        <f>Targets!H76</f>
        <v/>
      </c>
      <c r="I31" s="22">
        <f>Targets!I76</f>
        <v/>
      </c>
      <c r="J31" s="22">
        <f>Targets!J76</f>
        <v/>
      </c>
      <c r="K31" s="22">
        <f>Targets!K76</f>
        <v/>
      </c>
      <c r="L31" s="22">
        <f>Targets!L76</f>
        <v/>
      </c>
      <c r="M31" s="22">
        <f>Targets!M76</f>
        <v/>
      </c>
      <c r="N31" s="22">
        <f>Targets!N76</f>
        <v/>
      </c>
      <c r="O31" s="22">
        <f>Targets!O76</f>
        <v/>
      </c>
      <c r="P31" s="22">
        <f>Targets!P76</f>
        <v/>
      </c>
      <c r="Q31" s="22">
        <f>Targets!Q76</f>
        <v/>
      </c>
      <c r="R31" s="22">
        <f>Targets!R76</f>
        <v/>
      </c>
      <c r="S31" s="22">
        <f>Targets!S76</f>
        <v/>
      </c>
      <c r="T31" s="22">
        <f>Targets!T76</f>
        <v/>
      </c>
      <c r="U31" s="22">
        <f>Targets!U76</f>
        <v/>
      </c>
      <c r="V31" s="22">
        <f>Targets!V76</f>
        <v/>
      </c>
      <c r="W31" s="22">
        <f>Targets!W76</f>
        <v/>
      </c>
      <c r="X31" s="22">
        <f>Targets!X76</f>
        <v/>
      </c>
      <c r="Y31" s="22">
        <f>Targets!Y76</f>
        <v/>
      </c>
      <c r="Z31" s="22">
        <f>Targets!Z76</f>
        <v/>
      </c>
      <c r="AA31" s="22">
        <f>Targets!AA76</f>
        <v/>
      </c>
      <c r="AB31" s="22">
        <f>Targets!AB76</f>
        <v/>
      </c>
      <c r="AC31" s="22">
        <f>Targets!AC76</f>
        <v/>
      </c>
      <c r="AD31" s="22">
        <f>Targets!AD76</f>
        <v/>
      </c>
      <c r="AE31" s="22">
        <f>Targets!AE76</f>
        <v/>
      </c>
      <c r="AF31" s="22">
        <f>Targets!AF76</f>
        <v/>
      </c>
      <c r="AG31" s="22">
        <f>Targets!AG76</f>
        <v/>
      </c>
      <c r="AH31" s="22">
        <f>Targets!AH76</f>
        <v/>
      </c>
      <c r="AI31" s="22">
        <f>Targets!AI76</f>
        <v/>
      </c>
      <c r="AJ31" s="22">
        <f>Targets!AJ76</f>
        <v/>
      </c>
      <c r="AK31" s="22">
        <f>Targets!AK76</f>
        <v/>
      </c>
      <c r="AL31" s="22">
        <f>Targets!AL76</f>
        <v/>
      </c>
      <c r="AM31" s="22">
        <f>Targets!AM76</f>
        <v/>
      </c>
      <c r="AN31" s="22">
        <f>Targets!AN76</f>
        <v/>
      </c>
      <c r="AO31" s="22">
        <f>Targets!AO76</f>
        <v/>
      </c>
      <c r="AP31" s="22">
        <f>Targets!AP76</f>
        <v/>
      </c>
      <c r="AQ31" s="22">
        <f>Targets!AQ76</f>
        <v/>
      </c>
      <c r="AR31" s="22">
        <f>Targets!AR76</f>
        <v/>
      </c>
      <c r="AS31" s="22">
        <f>Targets!AS76</f>
        <v/>
      </c>
      <c r="AT31" s="22">
        <f>Targets!AT76</f>
        <v/>
      </c>
      <c r="AU31" s="22">
        <f>Targets!AU76</f>
        <v/>
      </c>
      <c r="AV31" s="22">
        <f>Targets!AV76</f>
        <v/>
      </c>
      <c r="AW31" s="22">
        <f>Targets!AW76</f>
        <v/>
      </c>
      <c r="AX31" s="22">
        <f>Targets!AX76</f>
        <v/>
      </c>
    </row>
    <row r="32">
      <c r="A32" t="inlineStr">
        <is>
          <t>India loaded cost adds — Actual</t>
        </is>
      </c>
      <c r="B32" s="5" t="inlineStr">
        <is>
          <t>$K · org input</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row>
    <row r="33">
      <c r="A33" t="inlineStr">
        <is>
          <t>One-time transition costs (memo — never net)</t>
        </is>
      </c>
      <c r="B33" s="5" t="inlineStr">
        <is>
          <t>$K · org input</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row>
    <row r="34">
      <c r="A34" s="11" t="inlineStr">
        <is>
          <t>D.  NET LABOR ARBITRAGE  (B − C)</t>
        </is>
      </c>
      <c r="B34" s="16" t="inlineStr"/>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row>
    <row r="35">
      <c r="A35" t="inlineStr">
        <is>
          <t>Net labor arbitrage — Target</t>
        </is>
      </c>
      <c r="B35" s="5" t="inlineStr">
        <is>
          <t>$K · linked</t>
        </is>
      </c>
      <c r="C35" s="22">
        <f>Targets!C77</f>
        <v/>
      </c>
      <c r="D35" s="22">
        <f>Targets!D77</f>
        <v/>
      </c>
      <c r="E35" s="22">
        <f>Targets!E77</f>
        <v/>
      </c>
      <c r="F35" s="22">
        <f>Targets!F77</f>
        <v/>
      </c>
      <c r="G35" s="22">
        <f>Targets!G77</f>
        <v/>
      </c>
      <c r="H35" s="22">
        <f>Targets!H77</f>
        <v/>
      </c>
      <c r="I35" s="22">
        <f>Targets!I77</f>
        <v/>
      </c>
      <c r="J35" s="22">
        <f>Targets!J77</f>
        <v/>
      </c>
      <c r="K35" s="22">
        <f>Targets!K77</f>
        <v/>
      </c>
      <c r="L35" s="22">
        <f>Targets!L77</f>
        <v/>
      </c>
      <c r="M35" s="22">
        <f>Targets!M77</f>
        <v/>
      </c>
      <c r="N35" s="22">
        <f>Targets!N77</f>
        <v/>
      </c>
      <c r="O35" s="22">
        <f>Targets!O77</f>
        <v/>
      </c>
      <c r="P35" s="22">
        <f>Targets!P77</f>
        <v/>
      </c>
      <c r="Q35" s="22">
        <f>Targets!Q77</f>
        <v/>
      </c>
      <c r="R35" s="22">
        <f>Targets!R77</f>
        <v/>
      </c>
      <c r="S35" s="22">
        <f>Targets!S77</f>
        <v/>
      </c>
      <c r="T35" s="22">
        <f>Targets!T77</f>
        <v/>
      </c>
      <c r="U35" s="22">
        <f>Targets!U77</f>
        <v/>
      </c>
      <c r="V35" s="22">
        <f>Targets!V77</f>
        <v/>
      </c>
      <c r="W35" s="22">
        <f>Targets!W77</f>
        <v/>
      </c>
      <c r="X35" s="22">
        <f>Targets!X77</f>
        <v/>
      </c>
      <c r="Y35" s="22">
        <f>Targets!Y77</f>
        <v/>
      </c>
      <c r="Z35" s="22">
        <f>Targets!Z77</f>
        <v/>
      </c>
      <c r="AA35" s="22">
        <f>Targets!AA77</f>
        <v/>
      </c>
      <c r="AB35" s="22">
        <f>Targets!AB77</f>
        <v/>
      </c>
      <c r="AC35" s="22">
        <f>Targets!AC77</f>
        <v/>
      </c>
      <c r="AD35" s="22">
        <f>Targets!AD77</f>
        <v/>
      </c>
      <c r="AE35" s="22">
        <f>Targets!AE77</f>
        <v/>
      </c>
      <c r="AF35" s="22">
        <f>Targets!AF77</f>
        <v/>
      </c>
      <c r="AG35" s="22">
        <f>Targets!AG77</f>
        <v/>
      </c>
      <c r="AH35" s="22">
        <f>Targets!AH77</f>
        <v/>
      </c>
      <c r="AI35" s="22">
        <f>Targets!AI77</f>
        <v/>
      </c>
      <c r="AJ35" s="22">
        <f>Targets!AJ77</f>
        <v/>
      </c>
      <c r="AK35" s="22">
        <f>Targets!AK77</f>
        <v/>
      </c>
      <c r="AL35" s="22">
        <f>Targets!AL77</f>
        <v/>
      </c>
      <c r="AM35" s="22">
        <f>Targets!AM77</f>
        <v/>
      </c>
      <c r="AN35" s="22">
        <f>Targets!AN77</f>
        <v/>
      </c>
      <c r="AO35" s="22">
        <f>Targets!AO77</f>
        <v/>
      </c>
      <c r="AP35" s="22">
        <f>Targets!AP77</f>
        <v/>
      </c>
      <c r="AQ35" s="22">
        <f>Targets!AQ77</f>
        <v/>
      </c>
      <c r="AR35" s="22">
        <f>Targets!AR77</f>
        <v/>
      </c>
      <c r="AS35" s="22">
        <f>Targets!AS77</f>
        <v/>
      </c>
      <c r="AT35" s="22">
        <f>Targets!AT77</f>
        <v/>
      </c>
      <c r="AU35" s="22">
        <f>Targets!AU77</f>
        <v/>
      </c>
      <c r="AV35" s="22">
        <f>Targets!AV77</f>
        <v/>
      </c>
      <c r="AW35" s="22">
        <f>Targets!AW77</f>
        <v/>
      </c>
      <c r="AX35" s="22">
        <f>Targets!AX77</f>
        <v/>
      </c>
    </row>
    <row r="36">
      <c r="A36" t="inlineStr">
        <is>
          <t>Net labor arbitrage — Actual</t>
        </is>
      </c>
      <c r="B36" s="5" t="inlineStr">
        <is>
          <t>$K · auto</t>
        </is>
      </c>
      <c r="C36" s="15">
        <f>C26-C32</f>
        <v/>
      </c>
      <c r="D36" s="15">
        <f>D26-D32</f>
        <v/>
      </c>
      <c r="E36" s="15">
        <f>E26-E32</f>
        <v/>
      </c>
      <c r="F36" s="15">
        <f>F26-F32</f>
        <v/>
      </c>
      <c r="G36" s="15">
        <f>G26-G32</f>
        <v/>
      </c>
      <c r="H36" s="15">
        <f>H26-H32</f>
        <v/>
      </c>
      <c r="I36" s="15">
        <f>I26-I32</f>
        <v/>
      </c>
      <c r="J36" s="15">
        <f>J26-J32</f>
        <v/>
      </c>
      <c r="K36" s="15">
        <f>K26-K32</f>
        <v/>
      </c>
      <c r="L36" s="15">
        <f>L26-L32</f>
        <v/>
      </c>
      <c r="M36" s="15">
        <f>M26-M32</f>
        <v/>
      </c>
      <c r="N36" s="15">
        <f>N26-N32</f>
        <v/>
      </c>
      <c r="O36" s="15">
        <f>O26-O32</f>
        <v/>
      </c>
      <c r="P36" s="15">
        <f>P26-P32</f>
        <v/>
      </c>
      <c r="Q36" s="15">
        <f>Q26-Q32</f>
        <v/>
      </c>
      <c r="R36" s="15">
        <f>R26-R32</f>
        <v/>
      </c>
      <c r="S36" s="15">
        <f>S26-S32</f>
        <v/>
      </c>
      <c r="T36" s="15">
        <f>T26-T32</f>
        <v/>
      </c>
      <c r="U36" s="15">
        <f>U26-U32</f>
        <v/>
      </c>
      <c r="V36" s="15">
        <f>V26-V32</f>
        <v/>
      </c>
      <c r="W36" s="15">
        <f>W26-W32</f>
        <v/>
      </c>
      <c r="X36" s="15">
        <f>X26-X32</f>
        <v/>
      </c>
      <c r="Y36" s="15">
        <f>Y26-Y32</f>
        <v/>
      </c>
      <c r="Z36" s="15">
        <f>Z26-Z32</f>
        <v/>
      </c>
      <c r="AA36" s="15">
        <f>AA26-AA32</f>
        <v/>
      </c>
      <c r="AB36" s="15">
        <f>AB26-AB32</f>
        <v/>
      </c>
      <c r="AC36" s="15">
        <f>AC26-AC32</f>
        <v/>
      </c>
      <c r="AD36" s="15">
        <f>AD26-AD32</f>
        <v/>
      </c>
      <c r="AE36" s="15">
        <f>AE26-AE32</f>
        <v/>
      </c>
      <c r="AF36" s="15">
        <f>AF26-AF32</f>
        <v/>
      </c>
      <c r="AG36" s="15">
        <f>AG26-AG32</f>
        <v/>
      </c>
      <c r="AH36" s="15">
        <f>AH26-AH32</f>
        <v/>
      </c>
      <c r="AI36" s="15">
        <f>AI26-AI32</f>
        <v/>
      </c>
      <c r="AJ36" s="15">
        <f>AJ26-AJ32</f>
        <v/>
      </c>
      <c r="AK36" s="15">
        <f>AK26-AK32</f>
        <v/>
      </c>
      <c r="AL36" s="15">
        <f>AL26-AL32</f>
        <v/>
      </c>
      <c r="AM36" s="15">
        <f>AM26-AM32</f>
        <v/>
      </c>
      <c r="AN36" s="15">
        <f>AN26-AN32</f>
        <v/>
      </c>
      <c r="AO36" s="15">
        <f>AO26-AO32</f>
        <v/>
      </c>
      <c r="AP36" s="15">
        <f>AP26-AP32</f>
        <v/>
      </c>
      <c r="AQ36" s="15">
        <f>AQ26-AQ32</f>
        <v/>
      </c>
      <c r="AR36" s="15">
        <f>AR26-AR32</f>
        <v/>
      </c>
      <c r="AS36" s="15">
        <f>AS26-AS32</f>
        <v/>
      </c>
      <c r="AT36" s="15">
        <f>AT26-AT32</f>
        <v/>
      </c>
      <c r="AU36" s="15">
        <f>AU26-AU32</f>
        <v/>
      </c>
      <c r="AV36" s="15">
        <f>AV26-AV32</f>
        <v/>
      </c>
      <c r="AW36" s="15">
        <f>AW26-AW32</f>
        <v/>
      </c>
      <c r="AX36" s="15">
        <f>AX26-AX32</f>
        <v/>
      </c>
    </row>
    <row r="37">
      <c r="A37" t="inlineStr">
        <is>
          <t>Net variance (Actual − Target)</t>
        </is>
      </c>
      <c r="B37" s="5" t="inlineStr">
        <is>
          <t>$K · auto</t>
        </is>
      </c>
      <c r="C37" s="15">
        <f>C36-C35</f>
        <v/>
      </c>
      <c r="D37" s="15">
        <f>D36-D35</f>
        <v/>
      </c>
      <c r="E37" s="15">
        <f>E36-E35</f>
        <v/>
      </c>
      <c r="F37" s="15">
        <f>F36-F35</f>
        <v/>
      </c>
      <c r="G37" s="15">
        <f>G36-G35</f>
        <v/>
      </c>
      <c r="H37" s="15">
        <f>H36-H35</f>
        <v/>
      </c>
      <c r="I37" s="15">
        <f>I36-I35</f>
        <v/>
      </c>
      <c r="J37" s="15">
        <f>J36-J35</f>
        <v/>
      </c>
      <c r="K37" s="15">
        <f>K36-K35</f>
        <v/>
      </c>
      <c r="L37" s="15">
        <f>L36-L35</f>
        <v/>
      </c>
      <c r="M37" s="15">
        <f>M36-M35</f>
        <v/>
      </c>
      <c r="N37" s="15">
        <f>N36-N35</f>
        <v/>
      </c>
      <c r="O37" s="15">
        <f>O36-O35</f>
        <v/>
      </c>
      <c r="P37" s="15">
        <f>P36-P35</f>
        <v/>
      </c>
      <c r="Q37" s="15">
        <f>Q36-Q35</f>
        <v/>
      </c>
      <c r="R37" s="15">
        <f>R36-R35</f>
        <v/>
      </c>
      <c r="S37" s="15">
        <f>S36-S35</f>
        <v/>
      </c>
      <c r="T37" s="15">
        <f>T36-T35</f>
        <v/>
      </c>
      <c r="U37" s="15">
        <f>U36-U35</f>
        <v/>
      </c>
      <c r="V37" s="15">
        <f>V36-V35</f>
        <v/>
      </c>
      <c r="W37" s="15">
        <f>W36-W35</f>
        <v/>
      </c>
      <c r="X37" s="15">
        <f>X36-X35</f>
        <v/>
      </c>
      <c r="Y37" s="15">
        <f>Y36-Y35</f>
        <v/>
      </c>
      <c r="Z37" s="15">
        <f>Z36-Z35</f>
        <v/>
      </c>
      <c r="AA37" s="15">
        <f>AA36-AA35</f>
        <v/>
      </c>
      <c r="AB37" s="15">
        <f>AB36-AB35</f>
        <v/>
      </c>
      <c r="AC37" s="15">
        <f>AC36-AC35</f>
        <v/>
      </c>
      <c r="AD37" s="15">
        <f>AD36-AD35</f>
        <v/>
      </c>
      <c r="AE37" s="15">
        <f>AE36-AE35</f>
        <v/>
      </c>
      <c r="AF37" s="15">
        <f>AF36-AF35</f>
        <v/>
      </c>
      <c r="AG37" s="15">
        <f>AG36-AG35</f>
        <v/>
      </c>
      <c r="AH37" s="15">
        <f>AH36-AH35</f>
        <v/>
      </c>
      <c r="AI37" s="15">
        <f>AI36-AI35</f>
        <v/>
      </c>
      <c r="AJ37" s="15">
        <f>AJ36-AJ35</f>
        <v/>
      </c>
      <c r="AK37" s="15">
        <f>AK36-AK35</f>
        <v/>
      </c>
      <c r="AL37" s="15">
        <f>AL36-AL35</f>
        <v/>
      </c>
      <c r="AM37" s="15">
        <f>AM36-AM35</f>
        <v/>
      </c>
      <c r="AN37" s="15">
        <f>AN36-AN35</f>
        <v/>
      </c>
      <c r="AO37" s="15">
        <f>AO36-AO35</f>
        <v/>
      </c>
      <c r="AP37" s="15">
        <f>AP36-AP35</f>
        <v/>
      </c>
      <c r="AQ37" s="15">
        <f>AQ36-AQ35</f>
        <v/>
      </c>
      <c r="AR37" s="15">
        <f>AR36-AR35</f>
        <v/>
      </c>
      <c r="AS37" s="15">
        <f>AS36-AS35</f>
        <v/>
      </c>
      <c r="AT37" s="15">
        <f>AT36-AT35</f>
        <v/>
      </c>
      <c r="AU37" s="15">
        <f>AU36-AU35</f>
        <v/>
      </c>
      <c r="AV37" s="15">
        <f>AV36-AV35</f>
        <v/>
      </c>
      <c r="AW37" s="15">
        <f>AW36-AW35</f>
        <v/>
      </c>
      <c r="AX37" s="15">
        <f>AX36-AX35</f>
        <v/>
      </c>
    </row>
    <row r="38">
      <c r="A38" t="inlineStr">
        <is>
          <t>Cumulative net arbitrage — Target</t>
        </is>
      </c>
      <c r="B38" s="5" t="inlineStr">
        <is>
          <t>$K · auto</t>
        </is>
      </c>
      <c r="C38" s="15">
        <f>SUM($C35:C35)</f>
        <v/>
      </c>
      <c r="D38" s="15">
        <f>SUM($C35:D35)</f>
        <v/>
      </c>
      <c r="E38" s="15">
        <f>SUM($C35:E35)</f>
        <v/>
      </c>
      <c r="F38" s="15">
        <f>SUM($C35:F35)</f>
        <v/>
      </c>
      <c r="G38" s="15">
        <f>SUM($C35:G35)</f>
        <v/>
      </c>
      <c r="H38" s="15">
        <f>SUM($C35:H35)</f>
        <v/>
      </c>
      <c r="I38" s="15">
        <f>SUM($C35:I35)</f>
        <v/>
      </c>
      <c r="J38" s="15">
        <f>SUM($C35:J35)</f>
        <v/>
      </c>
      <c r="K38" s="15">
        <f>SUM($C35:K35)</f>
        <v/>
      </c>
      <c r="L38" s="15">
        <f>SUM($C35:L35)</f>
        <v/>
      </c>
      <c r="M38" s="15">
        <f>SUM($C35:M35)</f>
        <v/>
      </c>
      <c r="N38" s="15">
        <f>SUM($C35:N35)</f>
        <v/>
      </c>
      <c r="O38" s="15">
        <f>SUM($C35:O35)</f>
        <v/>
      </c>
      <c r="P38" s="15">
        <f>SUM($C35:P35)</f>
        <v/>
      </c>
      <c r="Q38" s="15">
        <f>SUM($C35:Q35)</f>
        <v/>
      </c>
      <c r="R38" s="15">
        <f>SUM($C35:R35)</f>
        <v/>
      </c>
      <c r="S38" s="15">
        <f>SUM($C35:S35)</f>
        <v/>
      </c>
      <c r="T38" s="15">
        <f>SUM($C35:T35)</f>
        <v/>
      </c>
      <c r="U38" s="15">
        <f>SUM($C35:U35)</f>
        <v/>
      </c>
      <c r="V38" s="15">
        <f>SUM($C35:V35)</f>
        <v/>
      </c>
      <c r="W38" s="15">
        <f>SUM($C35:W35)</f>
        <v/>
      </c>
      <c r="X38" s="15">
        <f>SUM($C35:X35)</f>
        <v/>
      </c>
      <c r="Y38" s="15">
        <f>SUM($C35:Y35)</f>
        <v/>
      </c>
      <c r="Z38" s="15">
        <f>SUM($C35:Z35)</f>
        <v/>
      </c>
      <c r="AA38" s="15">
        <f>SUM($C35:AA35)</f>
        <v/>
      </c>
      <c r="AB38" s="15">
        <f>SUM($C35:AB35)</f>
        <v/>
      </c>
      <c r="AC38" s="15">
        <f>SUM($C35:AC35)</f>
        <v/>
      </c>
      <c r="AD38" s="15">
        <f>SUM($C35:AD35)</f>
        <v/>
      </c>
      <c r="AE38" s="15">
        <f>SUM($C35:AE35)</f>
        <v/>
      </c>
      <c r="AF38" s="15">
        <f>SUM($C35:AF35)</f>
        <v/>
      </c>
      <c r="AG38" s="15">
        <f>SUM($C35:AG35)</f>
        <v/>
      </c>
      <c r="AH38" s="15">
        <f>SUM($C35:AH35)</f>
        <v/>
      </c>
      <c r="AI38" s="15">
        <f>SUM($C35:AI35)</f>
        <v/>
      </c>
      <c r="AJ38" s="15">
        <f>SUM($C35:AJ35)</f>
        <v/>
      </c>
      <c r="AK38" s="15">
        <f>SUM($C35:AK35)</f>
        <v/>
      </c>
      <c r="AL38" s="15">
        <f>SUM($C35:AL35)</f>
        <v/>
      </c>
      <c r="AM38" s="15">
        <f>SUM($C35:AM35)</f>
        <v/>
      </c>
      <c r="AN38" s="15">
        <f>SUM($C35:AN35)</f>
        <v/>
      </c>
      <c r="AO38" s="15">
        <f>SUM($C35:AO35)</f>
        <v/>
      </c>
      <c r="AP38" s="15">
        <f>SUM($C35:AP35)</f>
        <v/>
      </c>
      <c r="AQ38" s="15">
        <f>SUM($C35:AQ35)</f>
        <v/>
      </c>
      <c r="AR38" s="15">
        <f>SUM($C35:AR35)</f>
        <v/>
      </c>
      <c r="AS38" s="15">
        <f>SUM($C35:AS35)</f>
        <v/>
      </c>
      <c r="AT38" s="15">
        <f>SUM($C35:AT35)</f>
        <v/>
      </c>
      <c r="AU38" s="15">
        <f>SUM($C35:AU35)</f>
        <v/>
      </c>
      <c r="AV38" s="15">
        <f>SUM($C35:AV35)</f>
        <v/>
      </c>
      <c r="AW38" s="15">
        <f>SUM($C35:AW35)</f>
        <v/>
      </c>
      <c r="AX38" s="15">
        <f>SUM($C35:AX35)</f>
        <v/>
      </c>
    </row>
    <row r="39">
      <c r="A39" t="inlineStr">
        <is>
          <t>Cumulative net arbitrage — Actual</t>
        </is>
      </c>
      <c r="B39" s="5" t="inlineStr">
        <is>
          <t>$K · auto</t>
        </is>
      </c>
      <c r="C39" s="15">
        <f>SUM($C36:C36)</f>
        <v/>
      </c>
      <c r="D39" s="15">
        <f>SUM($C36:D36)</f>
        <v/>
      </c>
      <c r="E39" s="15">
        <f>SUM($C36:E36)</f>
        <v/>
      </c>
      <c r="F39" s="15">
        <f>SUM($C36:F36)</f>
        <v/>
      </c>
      <c r="G39" s="15">
        <f>SUM($C36:G36)</f>
        <v/>
      </c>
      <c r="H39" s="15">
        <f>SUM($C36:H36)</f>
        <v/>
      </c>
      <c r="I39" s="15">
        <f>SUM($C36:I36)</f>
        <v/>
      </c>
      <c r="J39" s="15">
        <f>SUM($C36:J36)</f>
        <v/>
      </c>
      <c r="K39" s="15">
        <f>SUM($C36:K36)</f>
        <v/>
      </c>
      <c r="L39" s="15">
        <f>SUM($C36:L36)</f>
        <v/>
      </c>
      <c r="M39" s="15">
        <f>SUM($C36:M36)</f>
        <v/>
      </c>
      <c r="N39" s="15">
        <f>SUM($C36:N36)</f>
        <v/>
      </c>
      <c r="O39" s="15">
        <f>SUM($C36:O36)</f>
        <v/>
      </c>
      <c r="P39" s="15">
        <f>SUM($C36:P36)</f>
        <v/>
      </c>
      <c r="Q39" s="15">
        <f>SUM($C36:Q36)</f>
        <v/>
      </c>
      <c r="R39" s="15">
        <f>SUM($C36:R36)</f>
        <v/>
      </c>
      <c r="S39" s="15">
        <f>SUM($C36:S36)</f>
        <v/>
      </c>
      <c r="T39" s="15">
        <f>SUM($C36:T36)</f>
        <v/>
      </c>
      <c r="U39" s="15">
        <f>SUM($C36:U36)</f>
        <v/>
      </c>
      <c r="V39" s="15">
        <f>SUM($C36:V36)</f>
        <v/>
      </c>
      <c r="W39" s="15">
        <f>SUM($C36:W36)</f>
        <v/>
      </c>
      <c r="X39" s="15">
        <f>SUM($C36:X36)</f>
        <v/>
      </c>
      <c r="Y39" s="15">
        <f>SUM($C36:Y36)</f>
        <v/>
      </c>
      <c r="Z39" s="15">
        <f>SUM($C36:Z36)</f>
        <v/>
      </c>
      <c r="AA39" s="15">
        <f>SUM($C36:AA36)</f>
        <v/>
      </c>
      <c r="AB39" s="15">
        <f>SUM($C36:AB36)</f>
        <v/>
      </c>
      <c r="AC39" s="15">
        <f>SUM($C36:AC36)</f>
        <v/>
      </c>
      <c r="AD39" s="15">
        <f>SUM($C36:AD36)</f>
        <v/>
      </c>
      <c r="AE39" s="15">
        <f>SUM($C36:AE36)</f>
        <v/>
      </c>
      <c r="AF39" s="15">
        <f>SUM($C36:AF36)</f>
        <v/>
      </c>
      <c r="AG39" s="15">
        <f>SUM($C36:AG36)</f>
        <v/>
      </c>
      <c r="AH39" s="15">
        <f>SUM($C36:AH36)</f>
        <v/>
      </c>
      <c r="AI39" s="15">
        <f>SUM($C36:AI36)</f>
        <v/>
      </c>
      <c r="AJ39" s="15">
        <f>SUM($C36:AJ36)</f>
        <v/>
      </c>
      <c r="AK39" s="15">
        <f>SUM($C36:AK36)</f>
        <v/>
      </c>
      <c r="AL39" s="15">
        <f>SUM($C36:AL36)</f>
        <v/>
      </c>
      <c r="AM39" s="15">
        <f>SUM($C36:AM36)</f>
        <v/>
      </c>
      <c r="AN39" s="15">
        <f>SUM($C36:AN36)</f>
        <v/>
      </c>
      <c r="AO39" s="15">
        <f>SUM($C36:AO36)</f>
        <v/>
      </c>
      <c r="AP39" s="15">
        <f>SUM($C36:AP36)</f>
        <v/>
      </c>
      <c r="AQ39" s="15">
        <f>SUM($C36:AQ36)</f>
        <v/>
      </c>
      <c r="AR39" s="15">
        <f>SUM($C36:AR36)</f>
        <v/>
      </c>
      <c r="AS39" s="15">
        <f>SUM($C36:AS36)</f>
        <v/>
      </c>
      <c r="AT39" s="15">
        <f>SUM($C36:AT36)</f>
        <v/>
      </c>
      <c r="AU39" s="15">
        <f>SUM($C36:AU36)</f>
        <v/>
      </c>
      <c r="AV39" s="15">
        <f>SUM($C36:AV36)</f>
        <v/>
      </c>
      <c r="AW39" s="15">
        <f>SUM($C36:AW36)</f>
        <v/>
      </c>
      <c r="AX39" s="15">
        <f>SUM($C36:AX36)</f>
        <v/>
      </c>
    </row>
    <row r="40">
      <c r="A40" s="11" t="inlineStr">
        <is>
          <t>E.  STATUS, ATTESTATION &amp; COMMENTARY</t>
        </is>
      </c>
      <c r="B40" s="16" t="inlineStr"/>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row>
    <row r="41">
      <c r="A41" t="inlineStr">
        <is>
          <t>Overall RAG status for month</t>
        </is>
      </c>
      <c r="B41" s="5" t="inlineStr">
        <is>
          <t>G/A/R · org input</t>
        </is>
      </c>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c r="AE41" s="26" t="n"/>
      <c r="AF41" s="26" t="n"/>
      <c r="AG41" s="26" t="n"/>
      <c r="AH41" s="26" t="n"/>
      <c r="AI41" s="26" t="n"/>
      <c r="AJ41" s="26" t="n"/>
      <c r="AK41" s="26" t="n"/>
      <c r="AL41" s="26" t="n"/>
      <c r="AM41" s="26" t="n"/>
      <c r="AN41" s="26" t="n"/>
      <c r="AO41" s="26" t="n"/>
      <c r="AP41" s="26" t="n"/>
      <c r="AQ41" s="26" t="n"/>
      <c r="AR41" s="26" t="n"/>
      <c r="AS41" s="26" t="n"/>
      <c r="AT41" s="26" t="n"/>
      <c r="AU41" s="26" t="n"/>
      <c r="AV41" s="26" t="n"/>
      <c r="AW41" s="26" t="n"/>
      <c r="AX41" s="26" t="n"/>
    </row>
    <row r="42">
      <c r="A42" t="inlineStr">
        <is>
          <t>Attest: reductions free of leakage?</t>
        </is>
      </c>
      <c r="B42" s="5" t="inlineStr">
        <is>
          <t>Y/N · org input</t>
        </is>
      </c>
      <c r="C42" s="26" t="n"/>
      <c r="D42" s="26" t="n"/>
      <c r="E42" s="26"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c r="AD42" s="26" t="n"/>
      <c r="AE42" s="26" t="n"/>
      <c r="AF42" s="26" t="n"/>
      <c r="AG42" s="26" t="n"/>
      <c r="AH42" s="26" t="n"/>
      <c r="AI42" s="26" t="n"/>
      <c r="AJ42" s="26" t="n"/>
      <c r="AK42" s="26" t="n"/>
      <c r="AL42" s="26" t="n"/>
      <c r="AM42" s="26" t="n"/>
      <c r="AN42" s="26" t="n"/>
      <c r="AO42" s="26" t="n"/>
      <c r="AP42" s="26" t="n"/>
      <c r="AQ42" s="26" t="n"/>
      <c r="AR42" s="26" t="n"/>
      <c r="AS42" s="26" t="n"/>
      <c r="AT42" s="26" t="n"/>
      <c r="AU42" s="26" t="n"/>
      <c r="AV42" s="26" t="n"/>
      <c r="AW42" s="26" t="n"/>
      <c r="AX42" s="26" t="n"/>
    </row>
    <row r="43">
      <c r="A43" t="inlineStr">
        <is>
          <t>Attested by (org finance partner)</t>
        </is>
      </c>
      <c r="B43" s="5" t="inlineStr">
        <is>
          <t>name · org input</t>
        </is>
      </c>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c r="AD43" s="26" t="n"/>
      <c r="AE43" s="26" t="n"/>
      <c r="AF43" s="26" t="n"/>
      <c r="AG43" s="26" t="n"/>
      <c r="AH43" s="26" t="n"/>
      <c r="AI43" s="26" t="n"/>
      <c r="AJ43" s="26" t="n"/>
      <c r="AK43" s="26" t="n"/>
      <c r="AL43" s="26" t="n"/>
      <c r="AM43" s="26" t="n"/>
      <c r="AN43" s="26" t="n"/>
      <c r="AO43" s="26" t="n"/>
      <c r="AP43" s="26" t="n"/>
      <c r="AQ43" s="26" t="n"/>
      <c r="AR43" s="26" t="n"/>
      <c r="AS43" s="26" t="n"/>
      <c r="AT43" s="26" t="n"/>
      <c r="AU43" s="26" t="n"/>
      <c r="AV43" s="26" t="n"/>
      <c r="AW43" s="26" t="n"/>
      <c r="AX43" s="26" t="n"/>
    </row>
    <row r="44">
      <c r="A44" t="inlineStr">
        <is>
          <t>Commentary (required on material variance)</t>
        </is>
      </c>
      <c r="B44" s="5" t="inlineStr">
        <is>
          <t>text · org input</t>
        </is>
      </c>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c r="AD44" s="26" t="n"/>
      <c r="AE44" s="26" t="n"/>
      <c r="AF44" s="26" t="n"/>
      <c r="AG44" s="26" t="n"/>
      <c r="AH44" s="26" t="n"/>
      <c r="AI44" s="26" t="n"/>
      <c r="AJ44" s="26" t="n"/>
      <c r="AK44" s="26" t="n"/>
      <c r="AL44" s="26" t="n"/>
      <c r="AM44" s="26" t="n"/>
      <c r="AN44" s="26" t="n"/>
      <c r="AO44" s="26" t="n"/>
      <c r="AP44" s="26" t="n"/>
      <c r="AQ44" s="26" t="n"/>
      <c r="AR44" s="26" t="n"/>
      <c r="AS44" s="26" t="n"/>
      <c r="AT44" s="26" t="n"/>
      <c r="AU44" s="26" t="n"/>
      <c r="AV44" s="26" t="n"/>
      <c r="AW44" s="26" t="n"/>
      <c r="AX44" s="26" t="n"/>
    </row>
  </sheetData>
  <dataValidations count="2">
    <dataValidation sqref="C41:AX41" showDropDown="0" showInputMessage="0" showErrorMessage="0" allowBlank="1" type="list">
      <formula1>=Setup!$B$14:$B$16</formula1>
    </dataValidation>
    <dataValidation sqref="C42:AX42" showDropDown="0" showInputMessage="0" showErrorMessage="0" allowBlank="1" type="list">
      <formula1>=Setup!$B$18:$B$19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X4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46" customWidth="1" min="1" max="1"/>
    <col width="20"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10.5" customWidth="1" min="35" max="35"/>
    <col width="10.5" customWidth="1" min="36" max="36"/>
    <col width="10.5" customWidth="1" min="37" max="37"/>
    <col width="10.5" customWidth="1" min="38" max="38"/>
    <col width="10.5" customWidth="1" min="39" max="39"/>
    <col width="10.5" customWidth="1" min="40" max="40"/>
    <col width="10.5" customWidth="1" min="41" max="41"/>
    <col width="10.5" customWidth="1" min="42" max="42"/>
    <col width="10.5" customWidth="1" min="43" max="43"/>
    <col width="10.5" customWidth="1" min="44" max="44"/>
    <col width="10.5" customWidth="1" min="45" max="45"/>
    <col width="10.5" customWidth="1" min="46" max="46"/>
    <col width="10.5" customWidth="1" min="47" max="47"/>
    <col width="10.5" customWidth="1" min="48" max="48"/>
    <col width="10.5" customWidth="1" min="49" max="49"/>
    <col width="10.5" customWidth="1" min="50" max="50"/>
  </cols>
  <sheetData>
    <row r="1">
      <c r="A1" s="4" t="inlineStr">
        <is>
          <t>Program consolidation — all organizations</t>
        </is>
      </c>
    </row>
    <row r="2">
      <c r="A2" s="5" t="inlineStr">
        <is>
          <t>All values calculated. Numeric rows sum across Org_1..Org_8; comp and % rows are simple averages across orgs.</t>
        </is>
      </c>
    </row>
    <row r="4">
      <c r="C4" s="8" t="n">
        <v>2026</v>
      </c>
      <c r="O4" s="8" t="n">
        <v>2027</v>
      </c>
      <c r="AA4" s="8" t="n">
        <v>2028</v>
      </c>
      <c r="AM4" s="8" t="n">
        <v>2029</v>
      </c>
    </row>
    <row r="5">
      <c r="A5" s="9" t="inlineStr">
        <is>
          <t>Metric</t>
        </is>
      </c>
      <c r="B5" s="9" t="inlineStr">
        <is>
          <t>Unit / who fills</t>
        </is>
      </c>
      <c r="C5" s="10" t="n">
        <v>46023</v>
      </c>
      <c r="D5" s="10" t="n">
        <v>46054</v>
      </c>
      <c r="E5" s="10" t="n">
        <v>46082</v>
      </c>
      <c r="F5" s="10" t="n">
        <v>46113</v>
      </c>
      <c r="G5" s="10" t="n">
        <v>46143</v>
      </c>
      <c r="H5" s="10" t="n">
        <v>46174</v>
      </c>
      <c r="I5" s="10" t="n">
        <v>46204</v>
      </c>
      <c r="J5" s="10" t="n">
        <v>46235</v>
      </c>
      <c r="K5" s="10" t="n">
        <v>46266</v>
      </c>
      <c r="L5" s="10" t="n">
        <v>46296</v>
      </c>
      <c r="M5" s="10" t="n">
        <v>46327</v>
      </c>
      <c r="N5" s="10" t="n">
        <v>46357</v>
      </c>
      <c r="O5" s="10" t="n">
        <v>46388</v>
      </c>
      <c r="P5" s="10" t="n">
        <v>46419</v>
      </c>
      <c r="Q5" s="10" t="n">
        <v>46447</v>
      </c>
      <c r="R5" s="10" t="n">
        <v>46478</v>
      </c>
      <c r="S5" s="10" t="n">
        <v>46508</v>
      </c>
      <c r="T5" s="10" t="n">
        <v>46539</v>
      </c>
      <c r="U5" s="10" t="n">
        <v>46569</v>
      </c>
      <c r="V5" s="10" t="n">
        <v>46600</v>
      </c>
      <c r="W5" s="10" t="n">
        <v>46631</v>
      </c>
      <c r="X5" s="10" t="n">
        <v>46661</v>
      </c>
      <c r="Y5" s="10" t="n">
        <v>46692</v>
      </c>
      <c r="Z5" s="10" t="n">
        <v>46722</v>
      </c>
      <c r="AA5" s="10" t="n">
        <v>46753</v>
      </c>
      <c r="AB5" s="10" t="n">
        <v>46784</v>
      </c>
      <c r="AC5" s="10" t="n">
        <v>46813</v>
      </c>
      <c r="AD5" s="10" t="n">
        <v>46844</v>
      </c>
      <c r="AE5" s="10" t="n">
        <v>46874</v>
      </c>
      <c r="AF5" s="10" t="n">
        <v>46905</v>
      </c>
      <c r="AG5" s="10" t="n">
        <v>46935</v>
      </c>
      <c r="AH5" s="10" t="n">
        <v>46966</v>
      </c>
      <c r="AI5" s="10" t="n">
        <v>46997</v>
      </c>
      <c r="AJ5" s="10" t="n">
        <v>47027</v>
      </c>
      <c r="AK5" s="10" t="n">
        <v>47058</v>
      </c>
      <c r="AL5" s="10" t="n">
        <v>47088</v>
      </c>
      <c r="AM5" s="10" t="n">
        <v>47119</v>
      </c>
      <c r="AN5" s="10" t="n">
        <v>47150</v>
      </c>
      <c r="AO5" s="10" t="n">
        <v>47178</v>
      </c>
      <c r="AP5" s="10" t="n">
        <v>47209</v>
      </c>
      <c r="AQ5" s="10" t="n">
        <v>47239</v>
      </c>
      <c r="AR5" s="10" t="n">
        <v>47270</v>
      </c>
      <c r="AS5" s="10" t="n">
        <v>47300</v>
      </c>
      <c r="AT5" s="10" t="n">
        <v>47331</v>
      </c>
      <c r="AU5" s="10" t="n">
        <v>47362</v>
      </c>
      <c r="AV5" s="10" t="n">
        <v>47392</v>
      </c>
      <c r="AW5" s="10" t="n">
        <v>47423</v>
      </c>
      <c r="AX5" s="10" t="n">
        <v>47453</v>
      </c>
    </row>
    <row r="6">
      <c r="A6" s="11" t="inlineStr">
        <is>
          <t>A.  INDIA HIRING</t>
        </is>
      </c>
      <c r="B6" s="16" t="inlineStr">
        <is>
          <t xml:space="preserve"> · auto</t>
        </is>
      </c>
      <c r="C6" s="12" t="n"/>
      <c r="D6" s="12" t="n"/>
      <c r="E6" s="12" t="n"/>
      <c r="F6" s="12" t="n"/>
      <c r="G6" s="12" t="n"/>
      <c r="H6" s="12" t="n"/>
      <c r="I6" s="12" t="n"/>
      <c r="J6" s="12" t="n"/>
      <c r="K6" s="12" t="n"/>
      <c r="L6" s="12" t="n"/>
      <c r="M6" s="12" t="n"/>
      <c r="N6" s="12" t="n"/>
      <c r="O6" s="12" t="n"/>
      <c r="P6" s="12" t="n"/>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row>
    <row r="7">
      <c r="A7" t="inlineStr">
        <is>
          <t>India hires — Target</t>
        </is>
      </c>
      <c r="B7" s="5" t="inlineStr">
        <is>
          <t>heads · auto</t>
        </is>
      </c>
      <c r="C7" s="19">
        <f>SUM('Org_1:Org_8'!C7)</f>
        <v/>
      </c>
      <c r="D7" s="19">
        <f>SUM('Org_1:Org_8'!D7)</f>
        <v/>
      </c>
      <c r="E7" s="19">
        <f>SUM('Org_1:Org_8'!E7)</f>
        <v/>
      </c>
      <c r="F7" s="19">
        <f>SUM('Org_1:Org_8'!F7)</f>
        <v/>
      </c>
      <c r="G7" s="19">
        <f>SUM('Org_1:Org_8'!G7)</f>
        <v/>
      </c>
      <c r="H7" s="19">
        <f>SUM('Org_1:Org_8'!H7)</f>
        <v/>
      </c>
      <c r="I7" s="19">
        <f>SUM('Org_1:Org_8'!I7)</f>
        <v/>
      </c>
      <c r="J7" s="19">
        <f>SUM('Org_1:Org_8'!J7)</f>
        <v/>
      </c>
      <c r="K7" s="19">
        <f>SUM('Org_1:Org_8'!K7)</f>
        <v/>
      </c>
      <c r="L7" s="19">
        <f>SUM('Org_1:Org_8'!L7)</f>
        <v/>
      </c>
      <c r="M7" s="19">
        <f>SUM('Org_1:Org_8'!M7)</f>
        <v/>
      </c>
      <c r="N7" s="19">
        <f>SUM('Org_1:Org_8'!N7)</f>
        <v/>
      </c>
      <c r="O7" s="19">
        <f>SUM('Org_1:Org_8'!O7)</f>
        <v/>
      </c>
      <c r="P7" s="19">
        <f>SUM('Org_1:Org_8'!P7)</f>
        <v/>
      </c>
      <c r="Q7" s="19">
        <f>SUM('Org_1:Org_8'!Q7)</f>
        <v/>
      </c>
      <c r="R7" s="19">
        <f>SUM('Org_1:Org_8'!R7)</f>
        <v/>
      </c>
      <c r="S7" s="19">
        <f>SUM('Org_1:Org_8'!S7)</f>
        <v/>
      </c>
      <c r="T7" s="19">
        <f>SUM('Org_1:Org_8'!T7)</f>
        <v/>
      </c>
      <c r="U7" s="19">
        <f>SUM('Org_1:Org_8'!U7)</f>
        <v/>
      </c>
      <c r="V7" s="19">
        <f>SUM('Org_1:Org_8'!V7)</f>
        <v/>
      </c>
      <c r="W7" s="19">
        <f>SUM('Org_1:Org_8'!W7)</f>
        <v/>
      </c>
      <c r="X7" s="19">
        <f>SUM('Org_1:Org_8'!X7)</f>
        <v/>
      </c>
      <c r="Y7" s="19">
        <f>SUM('Org_1:Org_8'!Y7)</f>
        <v/>
      </c>
      <c r="Z7" s="19">
        <f>SUM('Org_1:Org_8'!Z7)</f>
        <v/>
      </c>
      <c r="AA7" s="19">
        <f>SUM('Org_1:Org_8'!AA7)</f>
        <v/>
      </c>
      <c r="AB7" s="19">
        <f>SUM('Org_1:Org_8'!AB7)</f>
        <v/>
      </c>
      <c r="AC7" s="19">
        <f>SUM('Org_1:Org_8'!AC7)</f>
        <v/>
      </c>
      <c r="AD7" s="19">
        <f>SUM('Org_1:Org_8'!AD7)</f>
        <v/>
      </c>
      <c r="AE7" s="19">
        <f>SUM('Org_1:Org_8'!AE7)</f>
        <v/>
      </c>
      <c r="AF7" s="19">
        <f>SUM('Org_1:Org_8'!AF7)</f>
        <v/>
      </c>
      <c r="AG7" s="19">
        <f>SUM('Org_1:Org_8'!AG7)</f>
        <v/>
      </c>
      <c r="AH7" s="19">
        <f>SUM('Org_1:Org_8'!AH7)</f>
        <v/>
      </c>
      <c r="AI7" s="19">
        <f>SUM('Org_1:Org_8'!AI7)</f>
        <v/>
      </c>
      <c r="AJ7" s="19">
        <f>SUM('Org_1:Org_8'!AJ7)</f>
        <v/>
      </c>
      <c r="AK7" s="19">
        <f>SUM('Org_1:Org_8'!AK7)</f>
        <v/>
      </c>
      <c r="AL7" s="19">
        <f>SUM('Org_1:Org_8'!AL7)</f>
        <v/>
      </c>
      <c r="AM7" s="19">
        <f>SUM('Org_1:Org_8'!AM7)</f>
        <v/>
      </c>
      <c r="AN7" s="19">
        <f>SUM('Org_1:Org_8'!AN7)</f>
        <v/>
      </c>
      <c r="AO7" s="19">
        <f>SUM('Org_1:Org_8'!AO7)</f>
        <v/>
      </c>
      <c r="AP7" s="19">
        <f>SUM('Org_1:Org_8'!AP7)</f>
        <v/>
      </c>
      <c r="AQ7" s="19">
        <f>SUM('Org_1:Org_8'!AQ7)</f>
        <v/>
      </c>
      <c r="AR7" s="19">
        <f>SUM('Org_1:Org_8'!AR7)</f>
        <v/>
      </c>
      <c r="AS7" s="19">
        <f>SUM('Org_1:Org_8'!AS7)</f>
        <v/>
      </c>
      <c r="AT7" s="19">
        <f>SUM('Org_1:Org_8'!AT7)</f>
        <v/>
      </c>
      <c r="AU7" s="19">
        <f>SUM('Org_1:Org_8'!AU7)</f>
        <v/>
      </c>
      <c r="AV7" s="19">
        <f>SUM('Org_1:Org_8'!AV7)</f>
        <v/>
      </c>
      <c r="AW7" s="19">
        <f>SUM('Org_1:Org_8'!AW7)</f>
        <v/>
      </c>
      <c r="AX7" s="19">
        <f>SUM('Org_1:Org_8'!AX7)</f>
        <v/>
      </c>
    </row>
    <row r="8">
      <c r="A8" t="inlineStr">
        <is>
          <t>India hires — Actual</t>
        </is>
      </c>
      <c r="B8" s="5" t="inlineStr">
        <is>
          <t>heads · auto</t>
        </is>
      </c>
      <c r="C8" s="19">
        <f>SUM('Org_1:Org_8'!C8)</f>
        <v/>
      </c>
      <c r="D8" s="19">
        <f>SUM('Org_1:Org_8'!D8)</f>
        <v/>
      </c>
      <c r="E8" s="19">
        <f>SUM('Org_1:Org_8'!E8)</f>
        <v/>
      </c>
      <c r="F8" s="19">
        <f>SUM('Org_1:Org_8'!F8)</f>
        <v/>
      </c>
      <c r="G8" s="19">
        <f>SUM('Org_1:Org_8'!G8)</f>
        <v/>
      </c>
      <c r="H8" s="19">
        <f>SUM('Org_1:Org_8'!H8)</f>
        <v/>
      </c>
      <c r="I8" s="19">
        <f>SUM('Org_1:Org_8'!I8)</f>
        <v/>
      </c>
      <c r="J8" s="19">
        <f>SUM('Org_1:Org_8'!J8)</f>
        <v/>
      </c>
      <c r="K8" s="19">
        <f>SUM('Org_1:Org_8'!K8)</f>
        <v/>
      </c>
      <c r="L8" s="19">
        <f>SUM('Org_1:Org_8'!L8)</f>
        <v/>
      </c>
      <c r="M8" s="19">
        <f>SUM('Org_1:Org_8'!M8)</f>
        <v/>
      </c>
      <c r="N8" s="19">
        <f>SUM('Org_1:Org_8'!N8)</f>
        <v/>
      </c>
      <c r="O8" s="19">
        <f>SUM('Org_1:Org_8'!O8)</f>
        <v/>
      </c>
      <c r="P8" s="19">
        <f>SUM('Org_1:Org_8'!P8)</f>
        <v/>
      </c>
      <c r="Q8" s="19">
        <f>SUM('Org_1:Org_8'!Q8)</f>
        <v/>
      </c>
      <c r="R8" s="19">
        <f>SUM('Org_1:Org_8'!R8)</f>
        <v/>
      </c>
      <c r="S8" s="19">
        <f>SUM('Org_1:Org_8'!S8)</f>
        <v/>
      </c>
      <c r="T8" s="19">
        <f>SUM('Org_1:Org_8'!T8)</f>
        <v/>
      </c>
      <c r="U8" s="19">
        <f>SUM('Org_1:Org_8'!U8)</f>
        <v/>
      </c>
      <c r="V8" s="19">
        <f>SUM('Org_1:Org_8'!V8)</f>
        <v/>
      </c>
      <c r="W8" s="19">
        <f>SUM('Org_1:Org_8'!W8)</f>
        <v/>
      </c>
      <c r="X8" s="19">
        <f>SUM('Org_1:Org_8'!X8)</f>
        <v/>
      </c>
      <c r="Y8" s="19">
        <f>SUM('Org_1:Org_8'!Y8)</f>
        <v/>
      </c>
      <c r="Z8" s="19">
        <f>SUM('Org_1:Org_8'!Z8)</f>
        <v/>
      </c>
      <c r="AA8" s="19">
        <f>SUM('Org_1:Org_8'!AA8)</f>
        <v/>
      </c>
      <c r="AB8" s="19">
        <f>SUM('Org_1:Org_8'!AB8)</f>
        <v/>
      </c>
      <c r="AC8" s="19">
        <f>SUM('Org_1:Org_8'!AC8)</f>
        <v/>
      </c>
      <c r="AD8" s="19">
        <f>SUM('Org_1:Org_8'!AD8)</f>
        <v/>
      </c>
      <c r="AE8" s="19">
        <f>SUM('Org_1:Org_8'!AE8)</f>
        <v/>
      </c>
      <c r="AF8" s="19">
        <f>SUM('Org_1:Org_8'!AF8)</f>
        <v/>
      </c>
      <c r="AG8" s="19">
        <f>SUM('Org_1:Org_8'!AG8)</f>
        <v/>
      </c>
      <c r="AH8" s="19">
        <f>SUM('Org_1:Org_8'!AH8)</f>
        <v/>
      </c>
      <c r="AI8" s="19">
        <f>SUM('Org_1:Org_8'!AI8)</f>
        <v/>
      </c>
      <c r="AJ8" s="19">
        <f>SUM('Org_1:Org_8'!AJ8)</f>
        <v/>
      </c>
      <c r="AK8" s="19">
        <f>SUM('Org_1:Org_8'!AK8)</f>
        <v/>
      </c>
      <c r="AL8" s="19">
        <f>SUM('Org_1:Org_8'!AL8)</f>
        <v/>
      </c>
      <c r="AM8" s="19">
        <f>SUM('Org_1:Org_8'!AM8)</f>
        <v/>
      </c>
      <c r="AN8" s="19">
        <f>SUM('Org_1:Org_8'!AN8)</f>
        <v/>
      </c>
      <c r="AO8" s="19">
        <f>SUM('Org_1:Org_8'!AO8)</f>
        <v/>
      </c>
      <c r="AP8" s="19">
        <f>SUM('Org_1:Org_8'!AP8)</f>
        <v/>
      </c>
      <c r="AQ8" s="19">
        <f>SUM('Org_1:Org_8'!AQ8)</f>
        <v/>
      </c>
      <c r="AR8" s="19">
        <f>SUM('Org_1:Org_8'!AR8)</f>
        <v/>
      </c>
      <c r="AS8" s="19">
        <f>SUM('Org_1:Org_8'!AS8)</f>
        <v/>
      </c>
      <c r="AT8" s="19">
        <f>SUM('Org_1:Org_8'!AT8)</f>
        <v/>
      </c>
      <c r="AU8" s="19">
        <f>SUM('Org_1:Org_8'!AU8)</f>
        <v/>
      </c>
      <c r="AV8" s="19">
        <f>SUM('Org_1:Org_8'!AV8)</f>
        <v/>
      </c>
      <c r="AW8" s="19">
        <f>SUM('Org_1:Org_8'!AW8)</f>
        <v/>
      </c>
      <c r="AX8" s="19">
        <f>SUM('Org_1:Org_8'!AX8)</f>
        <v/>
      </c>
    </row>
    <row r="9">
      <c r="A9" t="inlineStr">
        <is>
          <t>Cumulative hires — Target</t>
        </is>
      </c>
      <c r="B9" s="5" t="inlineStr">
        <is>
          <t>heads · auto</t>
        </is>
      </c>
      <c r="C9" s="19">
        <f>SUM($C7:C7)</f>
        <v/>
      </c>
      <c r="D9" s="19">
        <f>SUM($C7:D7)</f>
        <v/>
      </c>
      <c r="E9" s="19">
        <f>SUM($C7:E7)</f>
        <v/>
      </c>
      <c r="F9" s="19">
        <f>SUM($C7:F7)</f>
        <v/>
      </c>
      <c r="G9" s="19">
        <f>SUM($C7:G7)</f>
        <v/>
      </c>
      <c r="H9" s="19">
        <f>SUM($C7:H7)</f>
        <v/>
      </c>
      <c r="I9" s="19">
        <f>SUM($C7:I7)</f>
        <v/>
      </c>
      <c r="J9" s="19">
        <f>SUM($C7:J7)</f>
        <v/>
      </c>
      <c r="K9" s="19">
        <f>SUM($C7:K7)</f>
        <v/>
      </c>
      <c r="L9" s="19">
        <f>SUM($C7:L7)</f>
        <v/>
      </c>
      <c r="M9" s="19">
        <f>SUM($C7:M7)</f>
        <v/>
      </c>
      <c r="N9" s="19">
        <f>SUM($C7:N7)</f>
        <v/>
      </c>
      <c r="O9" s="19">
        <f>SUM($C7:O7)</f>
        <v/>
      </c>
      <c r="P9" s="19">
        <f>SUM($C7:P7)</f>
        <v/>
      </c>
      <c r="Q9" s="19">
        <f>SUM($C7:Q7)</f>
        <v/>
      </c>
      <c r="R9" s="19">
        <f>SUM($C7:R7)</f>
        <v/>
      </c>
      <c r="S9" s="19">
        <f>SUM($C7:S7)</f>
        <v/>
      </c>
      <c r="T9" s="19">
        <f>SUM($C7:T7)</f>
        <v/>
      </c>
      <c r="U9" s="19">
        <f>SUM($C7:U7)</f>
        <v/>
      </c>
      <c r="V9" s="19">
        <f>SUM($C7:V7)</f>
        <v/>
      </c>
      <c r="W9" s="19">
        <f>SUM($C7:W7)</f>
        <v/>
      </c>
      <c r="X9" s="19">
        <f>SUM($C7:X7)</f>
        <v/>
      </c>
      <c r="Y9" s="19">
        <f>SUM($C7:Y7)</f>
        <v/>
      </c>
      <c r="Z9" s="19">
        <f>SUM($C7:Z7)</f>
        <v/>
      </c>
      <c r="AA9" s="19">
        <f>SUM($C7:AA7)</f>
        <v/>
      </c>
      <c r="AB9" s="19">
        <f>SUM($C7:AB7)</f>
        <v/>
      </c>
      <c r="AC9" s="19">
        <f>SUM($C7:AC7)</f>
        <v/>
      </c>
      <c r="AD9" s="19">
        <f>SUM($C7:AD7)</f>
        <v/>
      </c>
      <c r="AE9" s="19">
        <f>SUM($C7:AE7)</f>
        <v/>
      </c>
      <c r="AF9" s="19">
        <f>SUM($C7:AF7)</f>
        <v/>
      </c>
      <c r="AG9" s="19">
        <f>SUM($C7:AG7)</f>
        <v/>
      </c>
      <c r="AH9" s="19">
        <f>SUM($C7:AH7)</f>
        <v/>
      </c>
      <c r="AI9" s="19">
        <f>SUM($C7:AI7)</f>
        <v/>
      </c>
      <c r="AJ9" s="19">
        <f>SUM($C7:AJ7)</f>
        <v/>
      </c>
      <c r="AK9" s="19">
        <f>SUM($C7:AK7)</f>
        <v/>
      </c>
      <c r="AL9" s="19">
        <f>SUM($C7:AL7)</f>
        <v/>
      </c>
      <c r="AM9" s="19">
        <f>SUM($C7:AM7)</f>
        <v/>
      </c>
      <c r="AN9" s="19">
        <f>SUM($C7:AN7)</f>
        <v/>
      </c>
      <c r="AO9" s="19">
        <f>SUM($C7:AO7)</f>
        <v/>
      </c>
      <c r="AP9" s="19">
        <f>SUM($C7:AP7)</f>
        <v/>
      </c>
      <c r="AQ9" s="19">
        <f>SUM($C7:AQ7)</f>
        <v/>
      </c>
      <c r="AR9" s="19">
        <f>SUM($C7:AR7)</f>
        <v/>
      </c>
      <c r="AS9" s="19">
        <f>SUM($C7:AS7)</f>
        <v/>
      </c>
      <c r="AT9" s="19">
        <f>SUM($C7:AT7)</f>
        <v/>
      </c>
      <c r="AU9" s="19">
        <f>SUM($C7:AU7)</f>
        <v/>
      </c>
      <c r="AV9" s="19">
        <f>SUM($C7:AV7)</f>
        <v/>
      </c>
      <c r="AW9" s="19">
        <f>SUM($C7:AW7)</f>
        <v/>
      </c>
      <c r="AX9" s="19">
        <f>SUM($C7:AX7)</f>
        <v/>
      </c>
    </row>
    <row r="10">
      <c r="A10" t="inlineStr">
        <is>
          <t>Cumulative hires — Actual</t>
        </is>
      </c>
      <c r="B10" s="5" t="inlineStr">
        <is>
          <t>heads · auto</t>
        </is>
      </c>
      <c r="C10" s="19">
        <f>SUM($C8:C8)</f>
        <v/>
      </c>
      <c r="D10" s="19">
        <f>SUM($C8:D8)</f>
        <v/>
      </c>
      <c r="E10" s="19">
        <f>SUM($C8:E8)</f>
        <v/>
      </c>
      <c r="F10" s="19">
        <f>SUM($C8:F8)</f>
        <v/>
      </c>
      <c r="G10" s="19">
        <f>SUM($C8:G8)</f>
        <v/>
      </c>
      <c r="H10" s="19">
        <f>SUM($C8:H8)</f>
        <v/>
      </c>
      <c r="I10" s="19">
        <f>SUM($C8:I8)</f>
        <v/>
      </c>
      <c r="J10" s="19">
        <f>SUM($C8:J8)</f>
        <v/>
      </c>
      <c r="K10" s="19">
        <f>SUM($C8:K8)</f>
        <v/>
      </c>
      <c r="L10" s="19">
        <f>SUM($C8:L8)</f>
        <v/>
      </c>
      <c r="M10" s="19">
        <f>SUM($C8:M8)</f>
        <v/>
      </c>
      <c r="N10" s="19">
        <f>SUM($C8:N8)</f>
        <v/>
      </c>
      <c r="O10" s="19">
        <f>SUM($C8:O8)</f>
        <v/>
      </c>
      <c r="P10" s="19">
        <f>SUM($C8:P8)</f>
        <v/>
      </c>
      <c r="Q10" s="19">
        <f>SUM($C8:Q8)</f>
        <v/>
      </c>
      <c r="R10" s="19">
        <f>SUM($C8:R8)</f>
        <v/>
      </c>
      <c r="S10" s="19">
        <f>SUM($C8:S8)</f>
        <v/>
      </c>
      <c r="T10" s="19">
        <f>SUM($C8:T8)</f>
        <v/>
      </c>
      <c r="U10" s="19">
        <f>SUM($C8:U8)</f>
        <v/>
      </c>
      <c r="V10" s="19">
        <f>SUM($C8:V8)</f>
        <v/>
      </c>
      <c r="W10" s="19">
        <f>SUM($C8:W8)</f>
        <v/>
      </c>
      <c r="X10" s="19">
        <f>SUM($C8:X8)</f>
        <v/>
      </c>
      <c r="Y10" s="19">
        <f>SUM($C8:Y8)</f>
        <v/>
      </c>
      <c r="Z10" s="19">
        <f>SUM($C8:Z8)</f>
        <v/>
      </c>
      <c r="AA10" s="19">
        <f>SUM($C8:AA8)</f>
        <v/>
      </c>
      <c r="AB10" s="19">
        <f>SUM($C8:AB8)</f>
        <v/>
      </c>
      <c r="AC10" s="19">
        <f>SUM($C8:AC8)</f>
        <v/>
      </c>
      <c r="AD10" s="19">
        <f>SUM($C8:AD8)</f>
        <v/>
      </c>
      <c r="AE10" s="19">
        <f>SUM($C8:AE8)</f>
        <v/>
      </c>
      <c r="AF10" s="19">
        <f>SUM($C8:AF8)</f>
        <v/>
      </c>
      <c r="AG10" s="19">
        <f>SUM($C8:AG8)</f>
        <v/>
      </c>
      <c r="AH10" s="19">
        <f>SUM($C8:AH8)</f>
        <v/>
      </c>
      <c r="AI10" s="19">
        <f>SUM($C8:AI8)</f>
        <v/>
      </c>
      <c r="AJ10" s="19">
        <f>SUM($C8:AJ8)</f>
        <v/>
      </c>
      <c r="AK10" s="19">
        <f>SUM($C8:AK8)</f>
        <v/>
      </c>
      <c r="AL10" s="19">
        <f>SUM($C8:AL8)</f>
        <v/>
      </c>
      <c r="AM10" s="19">
        <f>SUM($C8:AM8)</f>
        <v/>
      </c>
      <c r="AN10" s="19">
        <f>SUM($C8:AN8)</f>
        <v/>
      </c>
      <c r="AO10" s="19">
        <f>SUM($C8:AO8)</f>
        <v/>
      </c>
      <c r="AP10" s="19">
        <f>SUM($C8:AP8)</f>
        <v/>
      </c>
      <c r="AQ10" s="19">
        <f>SUM($C8:AQ8)</f>
        <v/>
      </c>
      <c r="AR10" s="19">
        <f>SUM($C8:AR8)</f>
        <v/>
      </c>
      <c r="AS10" s="19">
        <f>SUM($C8:AS8)</f>
        <v/>
      </c>
      <c r="AT10" s="19">
        <f>SUM($C8:AT8)</f>
        <v/>
      </c>
      <c r="AU10" s="19">
        <f>SUM($C8:AU8)</f>
        <v/>
      </c>
      <c r="AV10" s="19">
        <f>SUM($C8:AV8)</f>
        <v/>
      </c>
      <c r="AW10" s="19">
        <f>SUM($C8:AW8)</f>
        <v/>
      </c>
      <c r="AX10" s="19">
        <f>SUM($C8:AX8)</f>
        <v/>
      </c>
    </row>
    <row r="11">
      <c r="A11" t="inlineStr">
        <is>
          <t>Hires variance (Actual − Target), cumulative</t>
        </is>
      </c>
      <c r="B11" s="5" t="inlineStr">
        <is>
          <t>heads · auto</t>
        </is>
      </c>
      <c r="C11" s="19">
        <f>C10-C9</f>
        <v/>
      </c>
      <c r="D11" s="19">
        <f>D10-D9</f>
        <v/>
      </c>
      <c r="E11" s="19">
        <f>E10-E9</f>
        <v/>
      </c>
      <c r="F11" s="19">
        <f>F10-F9</f>
        <v/>
      </c>
      <c r="G11" s="19">
        <f>G10-G9</f>
        <v/>
      </c>
      <c r="H11" s="19">
        <f>H10-H9</f>
        <v/>
      </c>
      <c r="I11" s="19">
        <f>I10-I9</f>
        <v/>
      </c>
      <c r="J11" s="19">
        <f>J10-J9</f>
        <v/>
      </c>
      <c r="K11" s="19">
        <f>K10-K9</f>
        <v/>
      </c>
      <c r="L11" s="19">
        <f>L10-L9</f>
        <v/>
      </c>
      <c r="M11" s="19">
        <f>M10-M9</f>
        <v/>
      </c>
      <c r="N11" s="19">
        <f>N10-N9</f>
        <v/>
      </c>
      <c r="O11" s="19">
        <f>O10-O9</f>
        <v/>
      </c>
      <c r="P11" s="19">
        <f>P10-P9</f>
        <v/>
      </c>
      <c r="Q11" s="19">
        <f>Q10-Q9</f>
        <v/>
      </c>
      <c r="R11" s="19">
        <f>R10-R9</f>
        <v/>
      </c>
      <c r="S11" s="19">
        <f>S10-S9</f>
        <v/>
      </c>
      <c r="T11" s="19">
        <f>T10-T9</f>
        <v/>
      </c>
      <c r="U11" s="19">
        <f>U10-U9</f>
        <v/>
      </c>
      <c r="V11" s="19">
        <f>V10-V9</f>
        <v/>
      </c>
      <c r="W11" s="19">
        <f>W10-W9</f>
        <v/>
      </c>
      <c r="X11" s="19">
        <f>X10-X9</f>
        <v/>
      </c>
      <c r="Y11" s="19">
        <f>Y10-Y9</f>
        <v/>
      </c>
      <c r="Z11" s="19">
        <f>Z10-Z9</f>
        <v/>
      </c>
      <c r="AA11" s="19">
        <f>AA10-AA9</f>
        <v/>
      </c>
      <c r="AB11" s="19">
        <f>AB10-AB9</f>
        <v/>
      </c>
      <c r="AC11" s="19">
        <f>AC10-AC9</f>
        <v/>
      </c>
      <c r="AD11" s="19">
        <f>AD10-AD9</f>
        <v/>
      </c>
      <c r="AE11" s="19">
        <f>AE10-AE9</f>
        <v/>
      </c>
      <c r="AF11" s="19">
        <f>AF10-AF9</f>
        <v/>
      </c>
      <c r="AG11" s="19">
        <f>AG10-AG9</f>
        <v/>
      </c>
      <c r="AH11" s="19">
        <f>AH10-AH9</f>
        <v/>
      </c>
      <c r="AI11" s="19">
        <f>AI10-AI9</f>
        <v/>
      </c>
      <c r="AJ11" s="19">
        <f>AJ10-AJ9</f>
        <v/>
      </c>
      <c r="AK11" s="19">
        <f>AK10-AK9</f>
        <v/>
      </c>
      <c r="AL11" s="19">
        <f>AL10-AL9</f>
        <v/>
      </c>
      <c r="AM11" s="19">
        <f>AM10-AM9</f>
        <v/>
      </c>
      <c r="AN11" s="19">
        <f>AN10-AN9</f>
        <v/>
      </c>
      <c r="AO11" s="19">
        <f>AO10-AO9</f>
        <v/>
      </c>
      <c r="AP11" s="19">
        <f>AP10-AP9</f>
        <v/>
      </c>
      <c r="AQ11" s="19">
        <f>AQ10-AQ9</f>
        <v/>
      </c>
      <c r="AR11" s="19">
        <f>AR10-AR9</f>
        <v/>
      </c>
      <c r="AS11" s="19">
        <f>AS10-AS9</f>
        <v/>
      </c>
      <c r="AT11" s="19">
        <f>AT10-AT9</f>
        <v/>
      </c>
      <c r="AU11" s="19">
        <f>AU10-AU9</f>
        <v/>
      </c>
      <c r="AV11" s="19">
        <f>AV10-AV9</f>
        <v/>
      </c>
      <c r="AW11" s="19">
        <f>AW10-AW9</f>
        <v/>
      </c>
      <c r="AX11" s="19">
        <f>AX10-AX9</f>
        <v/>
      </c>
    </row>
    <row r="12">
      <c r="A12" t="inlineStr">
        <is>
          <t>Avg India loaded comp — Plan</t>
        </is>
      </c>
      <c r="B12" s="5" t="inlineStr">
        <is>
          <t>$K/yr · auto</t>
        </is>
      </c>
      <c r="C12" s="24">
        <f>IFERROR(AVERAGE('Org_1:Org_8'!C12),"")</f>
        <v/>
      </c>
      <c r="D12" s="24">
        <f>IFERROR(AVERAGE('Org_1:Org_8'!D12),"")</f>
        <v/>
      </c>
      <c r="E12" s="24">
        <f>IFERROR(AVERAGE('Org_1:Org_8'!E12),"")</f>
        <v/>
      </c>
      <c r="F12" s="24">
        <f>IFERROR(AVERAGE('Org_1:Org_8'!F12),"")</f>
        <v/>
      </c>
      <c r="G12" s="24">
        <f>IFERROR(AVERAGE('Org_1:Org_8'!G12),"")</f>
        <v/>
      </c>
      <c r="H12" s="24">
        <f>IFERROR(AVERAGE('Org_1:Org_8'!H12),"")</f>
        <v/>
      </c>
      <c r="I12" s="24">
        <f>IFERROR(AVERAGE('Org_1:Org_8'!I12),"")</f>
        <v/>
      </c>
      <c r="J12" s="24">
        <f>IFERROR(AVERAGE('Org_1:Org_8'!J12),"")</f>
        <v/>
      </c>
      <c r="K12" s="24">
        <f>IFERROR(AVERAGE('Org_1:Org_8'!K12),"")</f>
        <v/>
      </c>
      <c r="L12" s="24">
        <f>IFERROR(AVERAGE('Org_1:Org_8'!L12),"")</f>
        <v/>
      </c>
      <c r="M12" s="24">
        <f>IFERROR(AVERAGE('Org_1:Org_8'!M12),"")</f>
        <v/>
      </c>
      <c r="N12" s="24">
        <f>IFERROR(AVERAGE('Org_1:Org_8'!N12),"")</f>
        <v/>
      </c>
      <c r="O12" s="24">
        <f>IFERROR(AVERAGE('Org_1:Org_8'!O12),"")</f>
        <v/>
      </c>
      <c r="P12" s="24">
        <f>IFERROR(AVERAGE('Org_1:Org_8'!P12),"")</f>
        <v/>
      </c>
      <c r="Q12" s="24">
        <f>IFERROR(AVERAGE('Org_1:Org_8'!Q12),"")</f>
        <v/>
      </c>
      <c r="R12" s="24">
        <f>IFERROR(AVERAGE('Org_1:Org_8'!R12),"")</f>
        <v/>
      </c>
      <c r="S12" s="24">
        <f>IFERROR(AVERAGE('Org_1:Org_8'!S12),"")</f>
        <v/>
      </c>
      <c r="T12" s="24">
        <f>IFERROR(AVERAGE('Org_1:Org_8'!T12),"")</f>
        <v/>
      </c>
      <c r="U12" s="24">
        <f>IFERROR(AVERAGE('Org_1:Org_8'!U12),"")</f>
        <v/>
      </c>
      <c r="V12" s="24">
        <f>IFERROR(AVERAGE('Org_1:Org_8'!V12),"")</f>
        <v/>
      </c>
      <c r="W12" s="24">
        <f>IFERROR(AVERAGE('Org_1:Org_8'!W12),"")</f>
        <v/>
      </c>
      <c r="X12" s="24">
        <f>IFERROR(AVERAGE('Org_1:Org_8'!X12),"")</f>
        <v/>
      </c>
      <c r="Y12" s="24">
        <f>IFERROR(AVERAGE('Org_1:Org_8'!Y12),"")</f>
        <v/>
      </c>
      <c r="Z12" s="24">
        <f>IFERROR(AVERAGE('Org_1:Org_8'!Z12),"")</f>
        <v/>
      </c>
      <c r="AA12" s="24">
        <f>IFERROR(AVERAGE('Org_1:Org_8'!AA12),"")</f>
        <v/>
      </c>
      <c r="AB12" s="24">
        <f>IFERROR(AVERAGE('Org_1:Org_8'!AB12),"")</f>
        <v/>
      </c>
      <c r="AC12" s="24">
        <f>IFERROR(AVERAGE('Org_1:Org_8'!AC12),"")</f>
        <v/>
      </c>
      <c r="AD12" s="24">
        <f>IFERROR(AVERAGE('Org_1:Org_8'!AD12),"")</f>
        <v/>
      </c>
      <c r="AE12" s="24">
        <f>IFERROR(AVERAGE('Org_1:Org_8'!AE12),"")</f>
        <v/>
      </c>
      <c r="AF12" s="24">
        <f>IFERROR(AVERAGE('Org_1:Org_8'!AF12),"")</f>
        <v/>
      </c>
      <c r="AG12" s="24">
        <f>IFERROR(AVERAGE('Org_1:Org_8'!AG12),"")</f>
        <v/>
      </c>
      <c r="AH12" s="24">
        <f>IFERROR(AVERAGE('Org_1:Org_8'!AH12),"")</f>
        <v/>
      </c>
      <c r="AI12" s="24">
        <f>IFERROR(AVERAGE('Org_1:Org_8'!AI12),"")</f>
        <v/>
      </c>
      <c r="AJ12" s="24">
        <f>IFERROR(AVERAGE('Org_1:Org_8'!AJ12),"")</f>
        <v/>
      </c>
      <c r="AK12" s="24">
        <f>IFERROR(AVERAGE('Org_1:Org_8'!AK12),"")</f>
        <v/>
      </c>
      <c r="AL12" s="24">
        <f>IFERROR(AVERAGE('Org_1:Org_8'!AL12),"")</f>
        <v/>
      </c>
      <c r="AM12" s="24">
        <f>IFERROR(AVERAGE('Org_1:Org_8'!AM12),"")</f>
        <v/>
      </c>
      <c r="AN12" s="24">
        <f>IFERROR(AVERAGE('Org_1:Org_8'!AN12),"")</f>
        <v/>
      </c>
      <c r="AO12" s="24">
        <f>IFERROR(AVERAGE('Org_1:Org_8'!AO12),"")</f>
        <v/>
      </c>
      <c r="AP12" s="24">
        <f>IFERROR(AVERAGE('Org_1:Org_8'!AP12),"")</f>
        <v/>
      </c>
      <c r="AQ12" s="24">
        <f>IFERROR(AVERAGE('Org_1:Org_8'!AQ12),"")</f>
        <v/>
      </c>
      <c r="AR12" s="24">
        <f>IFERROR(AVERAGE('Org_1:Org_8'!AR12),"")</f>
        <v/>
      </c>
      <c r="AS12" s="24">
        <f>IFERROR(AVERAGE('Org_1:Org_8'!AS12),"")</f>
        <v/>
      </c>
      <c r="AT12" s="24">
        <f>IFERROR(AVERAGE('Org_1:Org_8'!AT12),"")</f>
        <v/>
      </c>
      <c r="AU12" s="24">
        <f>IFERROR(AVERAGE('Org_1:Org_8'!AU12),"")</f>
        <v/>
      </c>
      <c r="AV12" s="24">
        <f>IFERROR(AVERAGE('Org_1:Org_8'!AV12),"")</f>
        <v/>
      </c>
      <c r="AW12" s="24">
        <f>IFERROR(AVERAGE('Org_1:Org_8'!AW12),"")</f>
        <v/>
      </c>
      <c r="AX12" s="24">
        <f>IFERROR(AVERAGE('Org_1:Org_8'!AX12),"")</f>
        <v/>
      </c>
    </row>
    <row r="13">
      <c r="A13" t="inlineStr">
        <is>
          <t>Avg India loaded comp — Actual</t>
        </is>
      </c>
      <c r="B13" s="5" t="inlineStr">
        <is>
          <t>$K/yr · auto</t>
        </is>
      </c>
      <c r="C13" s="24">
        <f>IFERROR(AVERAGE('Org_1:Org_8'!C13),"")</f>
        <v/>
      </c>
      <c r="D13" s="24">
        <f>IFERROR(AVERAGE('Org_1:Org_8'!D13),"")</f>
        <v/>
      </c>
      <c r="E13" s="24">
        <f>IFERROR(AVERAGE('Org_1:Org_8'!E13),"")</f>
        <v/>
      </c>
      <c r="F13" s="24">
        <f>IFERROR(AVERAGE('Org_1:Org_8'!F13),"")</f>
        <v/>
      </c>
      <c r="G13" s="24">
        <f>IFERROR(AVERAGE('Org_1:Org_8'!G13),"")</f>
        <v/>
      </c>
      <c r="H13" s="24">
        <f>IFERROR(AVERAGE('Org_1:Org_8'!H13),"")</f>
        <v/>
      </c>
      <c r="I13" s="24">
        <f>IFERROR(AVERAGE('Org_1:Org_8'!I13),"")</f>
        <v/>
      </c>
      <c r="J13" s="24">
        <f>IFERROR(AVERAGE('Org_1:Org_8'!J13),"")</f>
        <v/>
      </c>
      <c r="K13" s="24">
        <f>IFERROR(AVERAGE('Org_1:Org_8'!K13),"")</f>
        <v/>
      </c>
      <c r="L13" s="24">
        <f>IFERROR(AVERAGE('Org_1:Org_8'!L13),"")</f>
        <v/>
      </c>
      <c r="M13" s="24">
        <f>IFERROR(AVERAGE('Org_1:Org_8'!M13),"")</f>
        <v/>
      </c>
      <c r="N13" s="24">
        <f>IFERROR(AVERAGE('Org_1:Org_8'!N13),"")</f>
        <v/>
      </c>
      <c r="O13" s="24">
        <f>IFERROR(AVERAGE('Org_1:Org_8'!O13),"")</f>
        <v/>
      </c>
      <c r="P13" s="24">
        <f>IFERROR(AVERAGE('Org_1:Org_8'!P13),"")</f>
        <v/>
      </c>
      <c r="Q13" s="24">
        <f>IFERROR(AVERAGE('Org_1:Org_8'!Q13),"")</f>
        <v/>
      </c>
      <c r="R13" s="24">
        <f>IFERROR(AVERAGE('Org_1:Org_8'!R13),"")</f>
        <v/>
      </c>
      <c r="S13" s="24">
        <f>IFERROR(AVERAGE('Org_1:Org_8'!S13),"")</f>
        <v/>
      </c>
      <c r="T13" s="24">
        <f>IFERROR(AVERAGE('Org_1:Org_8'!T13),"")</f>
        <v/>
      </c>
      <c r="U13" s="24">
        <f>IFERROR(AVERAGE('Org_1:Org_8'!U13),"")</f>
        <v/>
      </c>
      <c r="V13" s="24">
        <f>IFERROR(AVERAGE('Org_1:Org_8'!V13),"")</f>
        <v/>
      </c>
      <c r="W13" s="24">
        <f>IFERROR(AVERAGE('Org_1:Org_8'!W13),"")</f>
        <v/>
      </c>
      <c r="X13" s="24">
        <f>IFERROR(AVERAGE('Org_1:Org_8'!X13),"")</f>
        <v/>
      </c>
      <c r="Y13" s="24">
        <f>IFERROR(AVERAGE('Org_1:Org_8'!Y13),"")</f>
        <v/>
      </c>
      <c r="Z13" s="24">
        <f>IFERROR(AVERAGE('Org_1:Org_8'!Z13),"")</f>
        <v/>
      </c>
      <c r="AA13" s="24">
        <f>IFERROR(AVERAGE('Org_1:Org_8'!AA13),"")</f>
        <v/>
      </c>
      <c r="AB13" s="24">
        <f>IFERROR(AVERAGE('Org_1:Org_8'!AB13),"")</f>
        <v/>
      </c>
      <c r="AC13" s="24">
        <f>IFERROR(AVERAGE('Org_1:Org_8'!AC13),"")</f>
        <v/>
      </c>
      <c r="AD13" s="24">
        <f>IFERROR(AVERAGE('Org_1:Org_8'!AD13),"")</f>
        <v/>
      </c>
      <c r="AE13" s="24">
        <f>IFERROR(AVERAGE('Org_1:Org_8'!AE13),"")</f>
        <v/>
      </c>
      <c r="AF13" s="24">
        <f>IFERROR(AVERAGE('Org_1:Org_8'!AF13),"")</f>
        <v/>
      </c>
      <c r="AG13" s="24">
        <f>IFERROR(AVERAGE('Org_1:Org_8'!AG13),"")</f>
        <v/>
      </c>
      <c r="AH13" s="24">
        <f>IFERROR(AVERAGE('Org_1:Org_8'!AH13),"")</f>
        <v/>
      </c>
      <c r="AI13" s="24">
        <f>IFERROR(AVERAGE('Org_1:Org_8'!AI13),"")</f>
        <v/>
      </c>
      <c r="AJ13" s="24">
        <f>IFERROR(AVERAGE('Org_1:Org_8'!AJ13),"")</f>
        <v/>
      </c>
      <c r="AK13" s="24">
        <f>IFERROR(AVERAGE('Org_1:Org_8'!AK13),"")</f>
        <v/>
      </c>
      <c r="AL13" s="24">
        <f>IFERROR(AVERAGE('Org_1:Org_8'!AL13),"")</f>
        <v/>
      </c>
      <c r="AM13" s="24">
        <f>IFERROR(AVERAGE('Org_1:Org_8'!AM13),"")</f>
        <v/>
      </c>
      <c r="AN13" s="24">
        <f>IFERROR(AVERAGE('Org_1:Org_8'!AN13),"")</f>
        <v/>
      </c>
      <c r="AO13" s="24">
        <f>IFERROR(AVERAGE('Org_1:Org_8'!AO13),"")</f>
        <v/>
      </c>
      <c r="AP13" s="24">
        <f>IFERROR(AVERAGE('Org_1:Org_8'!AP13),"")</f>
        <v/>
      </c>
      <c r="AQ13" s="24">
        <f>IFERROR(AVERAGE('Org_1:Org_8'!AQ13),"")</f>
        <v/>
      </c>
      <c r="AR13" s="24">
        <f>IFERROR(AVERAGE('Org_1:Org_8'!AR13),"")</f>
        <v/>
      </c>
      <c r="AS13" s="24">
        <f>IFERROR(AVERAGE('Org_1:Org_8'!AS13),"")</f>
        <v/>
      </c>
      <c r="AT13" s="24">
        <f>IFERROR(AVERAGE('Org_1:Org_8'!AT13),"")</f>
        <v/>
      </c>
      <c r="AU13" s="24">
        <f>IFERROR(AVERAGE('Org_1:Org_8'!AU13),"")</f>
        <v/>
      </c>
      <c r="AV13" s="24">
        <f>IFERROR(AVERAGE('Org_1:Org_8'!AV13),"")</f>
        <v/>
      </c>
      <c r="AW13" s="24">
        <f>IFERROR(AVERAGE('Org_1:Org_8'!AW13),"")</f>
        <v/>
      </c>
      <c r="AX13" s="24">
        <f>IFERROR(AVERAGE('Org_1:Org_8'!AX13),"")</f>
        <v/>
      </c>
    </row>
    <row r="14">
      <c r="A14" t="inlineStr">
        <is>
          <t>India attrition in month</t>
        </is>
      </c>
      <c r="B14" s="5" t="inlineStr">
        <is>
          <t>heads · auto</t>
        </is>
      </c>
      <c r="C14" s="19">
        <f>SUM('Org_1:Org_8'!C14)</f>
        <v/>
      </c>
      <c r="D14" s="19">
        <f>SUM('Org_1:Org_8'!D14)</f>
        <v/>
      </c>
      <c r="E14" s="19">
        <f>SUM('Org_1:Org_8'!E14)</f>
        <v/>
      </c>
      <c r="F14" s="19">
        <f>SUM('Org_1:Org_8'!F14)</f>
        <v/>
      </c>
      <c r="G14" s="19">
        <f>SUM('Org_1:Org_8'!G14)</f>
        <v/>
      </c>
      <c r="H14" s="19">
        <f>SUM('Org_1:Org_8'!H14)</f>
        <v/>
      </c>
      <c r="I14" s="19">
        <f>SUM('Org_1:Org_8'!I14)</f>
        <v/>
      </c>
      <c r="J14" s="19">
        <f>SUM('Org_1:Org_8'!J14)</f>
        <v/>
      </c>
      <c r="K14" s="19">
        <f>SUM('Org_1:Org_8'!K14)</f>
        <v/>
      </c>
      <c r="L14" s="19">
        <f>SUM('Org_1:Org_8'!L14)</f>
        <v/>
      </c>
      <c r="M14" s="19">
        <f>SUM('Org_1:Org_8'!M14)</f>
        <v/>
      </c>
      <c r="N14" s="19">
        <f>SUM('Org_1:Org_8'!N14)</f>
        <v/>
      </c>
      <c r="O14" s="19">
        <f>SUM('Org_1:Org_8'!O14)</f>
        <v/>
      </c>
      <c r="P14" s="19">
        <f>SUM('Org_1:Org_8'!P14)</f>
        <v/>
      </c>
      <c r="Q14" s="19">
        <f>SUM('Org_1:Org_8'!Q14)</f>
        <v/>
      </c>
      <c r="R14" s="19">
        <f>SUM('Org_1:Org_8'!R14)</f>
        <v/>
      </c>
      <c r="S14" s="19">
        <f>SUM('Org_1:Org_8'!S14)</f>
        <v/>
      </c>
      <c r="T14" s="19">
        <f>SUM('Org_1:Org_8'!T14)</f>
        <v/>
      </c>
      <c r="U14" s="19">
        <f>SUM('Org_1:Org_8'!U14)</f>
        <v/>
      </c>
      <c r="V14" s="19">
        <f>SUM('Org_1:Org_8'!V14)</f>
        <v/>
      </c>
      <c r="W14" s="19">
        <f>SUM('Org_1:Org_8'!W14)</f>
        <v/>
      </c>
      <c r="X14" s="19">
        <f>SUM('Org_1:Org_8'!X14)</f>
        <v/>
      </c>
      <c r="Y14" s="19">
        <f>SUM('Org_1:Org_8'!Y14)</f>
        <v/>
      </c>
      <c r="Z14" s="19">
        <f>SUM('Org_1:Org_8'!Z14)</f>
        <v/>
      </c>
      <c r="AA14" s="19">
        <f>SUM('Org_1:Org_8'!AA14)</f>
        <v/>
      </c>
      <c r="AB14" s="19">
        <f>SUM('Org_1:Org_8'!AB14)</f>
        <v/>
      </c>
      <c r="AC14" s="19">
        <f>SUM('Org_1:Org_8'!AC14)</f>
        <v/>
      </c>
      <c r="AD14" s="19">
        <f>SUM('Org_1:Org_8'!AD14)</f>
        <v/>
      </c>
      <c r="AE14" s="19">
        <f>SUM('Org_1:Org_8'!AE14)</f>
        <v/>
      </c>
      <c r="AF14" s="19">
        <f>SUM('Org_1:Org_8'!AF14)</f>
        <v/>
      </c>
      <c r="AG14" s="19">
        <f>SUM('Org_1:Org_8'!AG14)</f>
        <v/>
      </c>
      <c r="AH14" s="19">
        <f>SUM('Org_1:Org_8'!AH14)</f>
        <v/>
      </c>
      <c r="AI14" s="19">
        <f>SUM('Org_1:Org_8'!AI14)</f>
        <v/>
      </c>
      <c r="AJ14" s="19">
        <f>SUM('Org_1:Org_8'!AJ14)</f>
        <v/>
      </c>
      <c r="AK14" s="19">
        <f>SUM('Org_1:Org_8'!AK14)</f>
        <v/>
      </c>
      <c r="AL14" s="19">
        <f>SUM('Org_1:Org_8'!AL14)</f>
        <v/>
      </c>
      <c r="AM14" s="19">
        <f>SUM('Org_1:Org_8'!AM14)</f>
        <v/>
      </c>
      <c r="AN14" s="19">
        <f>SUM('Org_1:Org_8'!AN14)</f>
        <v/>
      </c>
      <c r="AO14" s="19">
        <f>SUM('Org_1:Org_8'!AO14)</f>
        <v/>
      </c>
      <c r="AP14" s="19">
        <f>SUM('Org_1:Org_8'!AP14)</f>
        <v/>
      </c>
      <c r="AQ14" s="19">
        <f>SUM('Org_1:Org_8'!AQ14)</f>
        <v/>
      </c>
      <c r="AR14" s="19">
        <f>SUM('Org_1:Org_8'!AR14)</f>
        <v/>
      </c>
      <c r="AS14" s="19">
        <f>SUM('Org_1:Org_8'!AS14)</f>
        <v/>
      </c>
      <c r="AT14" s="19">
        <f>SUM('Org_1:Org_8'!AT14)</f>
        <v/>
      </c>
      <c r="AU14" s="19">
        <f>SUM('Org_1:Org_8'!AU14)</f>
        <v/>
      </c>
      <c r="AV14" s="19">
        <f>SUM('Org_1:Org_8'!AV14)</f>
        <v/>
      </c>
      <c r="AW14" s="19">
        <f>SUM('Org_1:Org_8'!AW14)</f>
        <v/>
      </c>
      <c r="AX14" s="19">
        <f>SUM('Org_1:Org_8'!AX14)</f>
        <v/>
      </c>
    </row>
    <row r="15">
      <c r="A15" t="inlineStr">
        <is>
          <t>% of India hires fully productive</t>
        </is>
      </c>
      <c r="B15" s="5" t="inlineStr">
        <is>
          <t>% · auto</t>
        </is>
      </c>
      <c r="C15" s="27">
        <f>IFERROR(AVERAGE('Org_1:Org_8'!C15),"")</f>
        <v/>
      </c>
      <c r="D15" s="27">
        <f>IFERROR(AVERAGE('Org_1:Org_8'!D15),"")</f>
        <v/>
      </c>
      <c r="E15" s="27">
        <f>IFERROR(AVERAGE('Org_1:Org_8'!E15),"")</f>
        <v/>
      </c>
      <c r="F15" s="27">
        <f>IFERROR(AVERAGE('Org_1:Org_8'!F15),"")</f>
        <v/>
      </c>
      <c r="G15" s="27">
        <f>IFERROR(AVERAGE('Org_1:Org_8'!G15),"")</f>
        <v/>
      </c>
      <c r="H15" s="27">
        <f>IFERROR(AVERAGE('Org_1:Org_8'!H15),"")</f>
        <v/>
      </c>
      <c r="I15" s="27">
        <f>IFERROR(AVERAGE('Org_1:Org_8'!I15),"")</f>
        <v/>
      </c>
      <c r="J15" s="27">
        <f>IFERROR(AVERAGE('Org_1:Org_8'!J15),"")</f>
        <v/>
      </c>
      <c r="K15" s="27">
        <f>IFERROR(AVERAGE('Org_1:Org_8'!K15),"")</f>
        <v/>
      </c>
      <c r="L15" s="27">
        <f>IFERROR(AVERAGE('Org_1:Org_8'!L15),"")</f>
        <v/>
      </c>
      <c r="M15" s="27">
        <f>IFERROR(AVERAGE('Org_1:Org_8'!M15),"")</f>
        <v/>
      </c>
      <c r="N15" s="27">
        <f>IFERROR(AVERAGE('Org_1:Org_8'!N15),"")</f>
        <v/>
      </c>
      <c r="O15" s="27">
        <f>IFERROR(AVERAGE('Org_1:Org_8'!O15),"")</f>
        <v/>
      </c>
      <c r="P15" s="27">
        <f>IFERROR(AVERAGE('Org_1:Org_8'!P15),"")</f>
        <v/>
      </c>
      <c r="Q15" s="27">
        <f>IFERROR(AVERAGE('Org_1:Org_8'!Q15),"")</f>
        <v/>
      </c>
      <c r="R15" s="27">
        <f>IFERROR(AVERAGE('Org_1:Org_8'!R15),"")</f>
        <v/>
      </c>
      <c r="S15" s="27">
        <f>IFERROR(AVERAGE('Org_1:Org_8'!S15),"")</f>
        <v/>
      </c>
      <c r="T15" s="27">
        <f>IFERROR(AVERAGE('Org_1:Org_8'!T15),"")</f>
        <v/>
      </c>
      <c r="U15" s="27">
        <f>IFERROR(AVERAGE('Org_1:Org_8'!U15),"")</f>
        <v/>
      </c>
      <c r="V15" s="27">
        <f>IFERROR(AVERAGE('Org_1:Org_8'!V15),"")</f>
        <v/>
      </c>
      <c r="W15" s="27">
        <f>IFERROR(AVERAGE('Org_1:Org_8'!W15),"")</f>
        <v/>
      </c>
      <c r="X15" s="27">
        <f>IFERROR(AVERAGE('Org_1:Org_8'!X15),"")</f>
        <v/>
      </c>
      <c r="Y15" s="27">
        <f>IFERROR(AVERAGE('Org_1:Org_8'!Y15),"")</f>
        <v/>
      </c>
      <c r="Z15" s="27">
        <f>IFERROR(AVERAGE('Org_1:Org_8'!Z15),"")</f>
        <v/>
      </c>
      <c r="AA15" s="27">
        <f>IFERROR(AVERAGE('Org_1:Org_8'!AA15),"")</f>
        <v/>
      </c>
      <c r="AB15" s="27">
        <f>IFERROR(AVERAGE('Org_1:Org_8'!AB15),"")</f>
        <v/>
      </c>
      <c r="AC15" s="27">
        <f>IFERROR(AVERAGE('Org_1:Org_8'!AC15),"")</f>
        <v/>
      </c>
      <c r="AD15" s="27">
        <f>IFERROR(AVERAGE('Org_1:Org_8'!AD15),"")</f>
        <v/>
      </c>
      <c r="AE15" s="27">
        <f>IFERROR(AVERAGE('Org_1:Org_8'!AE15),"")</f>
        <v/>
      </c>
      <c r="AF15" s="27">
        <f>IFERROR(AVERAGE('Org_1:Org_8'!AF15),"")</f>
        <v/>
      </c>
      <c r="AG15" s="27">
        <f>IFERROR(AVERAGE('Org_1:Org_8'!AG15),"")</f>
        <v/>
      </c>
      <c r="AH15" s="27">
        <f>IFERROR(AVERAGE('Org_1:Org_8'!AH15),"")</f>
        <v/>
      </c>
      <c r="AI15" s="27">
        <f>IFERROR(AVERAGE('Org_1:Org_8'!AI15),"")</f>
        <v/>
      </c>
      <c r="AJ15" s="27">
        <f>IFERROR(AVERAGE('Org_1:Org_8'!AJ15),"")</f>
        <v/>
      </c>
      <c r="AK15" s="27">
        <f>IFERROR(AVERAGE('Org_1:Org_8'!AK15),"")</f>
        <v/>
      </c>
      <c r="AL15" s="27">
        <f>IFERROR(AVERAGE('Org_1:Org_8'!AL15),"")</f>
        <v/>
      </c>
      <c r="AM15" s="27">
        <f>IFERROR(AVERAGE('Org_1:Org_8'!AM15),"")</f>
        <v/>
      </c>
      <c r="AN15" s="27">
        <f>IFERROR(AVERAGE('Org_1:Org_8'!AN15),"")</f>
        <v/>
      </c>
      <c r="AO15" s="27">
        <f>IFERROR(AVERAGE('Org_1:Org_8'!AO15),"")</f>
        <v/>
      </c>
      <c r="AP15" s="27">
        <f>IFERROR(AVERAGE('Org_1:Org_8'!AP15),"")</f>
        <v/>
      </c>
      <c r="AQ15" s="27">
        <f>IFERROR(AVERAGE('Org_1:Org_8'!AQ15),"")</f>
        <v/>
      </c>
      <c r="AR15" s="27">
        <f>IFERROR(AVERAGE('Org_1:Org_8'!AR15),"")</f>
        <v/>
      </c>
      <c r="AS15" s="27">
        <f>IFERROR(AVERAGE('Org_1:Org_8'!AS15),"")</f>
        <v/>
      </c>
      <c r="AT15" s="27">
        <f>IFERROR(AVERAGE('Org_1:Org_8'!AT15),"")</f>
        <v/>
      </c>
      <c r="AU15" s="27">
        <f>IFERROR(AVERAGE('Org_1:Org_8'!AU15),"")</f>
        <v/>
      </c>
      <c r="AV15" s="27">
        <f>IFERROR(AVERAGE('Org_1:Org_8'!AV15),"")</f>
        <v/>
      </c>
      <c r="AW15" s="27">
        <f>IFERROR(AVERAGE('Org_1:Org_8'!AW15),"")</f>
        <v/>
      </c>
      <c r="AX15" s="27">
        <f>IFERROR(AVERAGE('Org_1:Org_8'!AX15),"")</f>
        <v/>
      </c>
    </row>
    <row r="16">
      <c r="A16" s="11" t="inlineStr">
        <is>
          <t>B.  GROSS REDUCTIONS REALIZED IN PERIOD</t>
        </is>
      </c>
      <c r="B16" s="16" t="inlineStr">
        <is>
          <t xml:space="preserve"> · auto</t>
        </is>
      </c>
      <c r="C16" s="12" t="n"/>
      <c r="D16" s="12" t="n"/>
      <c r="E16" s="12" t="n"/>
      <c r="F16" s="12" t="n"/>
      <c r="G16" s="12" t="n"/>
      <c r="H16" s="12" t="n"/>
      <c r="I16" s="12" t="n"/>
      <c r="J16" s="12" t="n"/>
      <c r="K16" s="12" t="n"/>
      <c r="L16" s="12" t="n"/>
      <c r="M16" s="12" t="n"/>
      <c r="N16" s="12" t="n"/>
      <c r="O16" s="12" t="n"/>
      <c r="P16" s="12" t="n"/>
      <c r="Q16" s="12" t="n"/>
      <c r="R16" s="12" t="n"/>
      <c r="S16" s="12" t="n"/>
      <c r="T16" s="12" t="n"/>
      <c r="U16" s="12" t="n"/>
      <c r="V16" s="12" t="n"/>
      <c r="W16" s="12" t="n"/>
      <c r="X16" s="12" t="n"/>
      <c r="Y16" s="12" t="n"/>
      <c r="Z16" s="12" t="n"/>
      <c r="AA16" s="12" t="n"/>
      <c r="AB16" s="12" t="n"/>
      <c r="AC16" s="12" t="n"/>
      <c r="AD16" s="12" t="n"/>
      <c r="AE16" s="12" t="n"/>
      <c r="AF16" s="12" t="n"/>
      <c r="AG16" s="12" t="n"/>
      <c r="AH16" s="12" t="n"/>
      <c r="AI16" s="12" t="n"/>
      <c r="AJ16" s="12" t="n"/>
      <c r="AK16" s="12" t="n"/>
      <c r="AL16" s="12" t="n"/>
      <c r="AM16" s="12" t="n"/>
      <c r="AN16" s="12" t="n"/>
      <c r="AO16" s="12" t="n"/>
      <c r="AP16" s="12" t="n"/>
      <c r="AQ16" s="12" t="n"/>
      <c r="AR16" s="12" t="n"/>
      <c r="AS16" s="12" t="n"/>
      <c r="AT16" s="12" t="n"/>
      <c r="AU16" s="12" t="n"/>
      <c r="AV16" s="12" t="n"/>
      <c r="AW16" s="12" t="n"/>
      <c r="AX16" s="12" t="n"/>
    </row>
    <row r="17">
      <c r="A17" t="inlineStr">
        <is>
          <t>Professional services — Target</t>
        </is>
      </c>
      <c r="B17" s="5" t="inlineStr">
        <is>
          <t>$K · auto</t>
        </is>
      </c>
      <c r="C17" s="24">
        <f>SUM('Org_1:Org_8'!C17)</f>
        <v/>
      </c>
      <c r="D17" s="24">
        <f>SUM('Org_1:Org_8'!D17)</f>
        <v/>
      </c>
      <c r="E17" s="24">
        <f>SUM('Org_1:Org_8'!E17)</f>
        <v/>
      </c>
      <c r="F17" s="24">
        <f>SUM('Org_1:Org_8'!F17)</f>
        <v/>
      </c>
      <c r="G17" s="24">
        <f>SUM('Org_1:Org_8'!G17)</f>
        <v/>
      </c>
      <c r="H17" s="24">
        <f>SUM('Org_1:Org_8'!H17)</f>
        <v/>
      </c>
      <c r="I17" s="24">
        <f>SUM('Org_1:Org_8'!I17)</f>
        <v/>
      </c>
      <c r="J17" s="24">
        <f>SUM('Org_1:Org_8'!J17)</f>
        <v/>
      </c>
      <c r="K17" s="24">
        <f>SUM('Org_1:Org_8'!K17)</f>
        <v/>
      </c>
      <c r="L17" s="24">
        <f>SUM('Org_1:Org_8'!L17)</f>
        <v/>
      </c>
      <c r="M17" s="24">
        <f>SUM('Org_1:Org_8'!M17)</f>
        <v/>
      </c>
      <c r="N17" s="24">
        <f>SUM('Org_1:Org_8'!N17)</f>
        <v/>
      </c>
      <c r="O17" s="24">
        <f>SUM('Org_1:Org_8'!O17)</f>
        <v/>
      </c>
      <c r="P17" s="24">
        <f>SUM('Org_1:Org_8'!P17)</f>
        <v/>
      </c>
      <c r="Q17" s="24">
        <f>SUM('Org_1:Org_8'!Q17)</f>
        <v/>
      </c>
      <c r="R17" s="24">
        <f>SUM('Org_1:Org_8'!R17)</f>
        <v/>
      </c>
      <c r="S17" s="24">
        <f>SUM('Org_1:Org_8'!S17)</f>
        <v/>
      </c>
      <c r="T17" s="24">
        <f>SUM('Org_1:Org_8'!T17)</f>
        <v/>
      </c>
      <c r="U17" s="24">
        <f>SUM('Org_1:Org_8'!U17)</f>
        <v/>
      </c>
      <c r="V17" s="24">
        <f>SUM('Org_1:Org_8'!V17)</f>
        <v/>
      </c>
      <c r="W17" s="24">
        <f>SUM('Org_1:Org_8'!W17)</f>
        <v/>
      </c>
      <c r="X17" s="24">
        <f>SUM('Org_1:Org_8'!X17)</f>
        <v/>
      </c>
      <c r="Y17" s="24">
        <f>SUM('Org_1:Org_8'!Y17)</f>
        <v/>
      </c>
      <c r="Z17" s="24">
        <f>SUM('Org_1:Org_8'!Z17)</f>
        <v/>
      </c>
      <c r="AA17" s="24">
        <f>SUM('Org_1:Org_8'!AA17)</f>
        <v/>
      </c>
      <c r="AB17" s="24">
        <f>SUM('Org_1:Org_8'!AB17)</f>
        <v/>
      </c>
      <c r="AC17" s="24">
        <f>SUM('Org_1:Org_8'!AC17)</f>
        <v/>
      </c>
      <c r="AD17" s="24">
        <f>SUM('Org_1:Org_8'!AD17)</f>
        <v/>
      </c>
      <c r="AE17" s="24">
        <f>SUM('Org_1:Org_8'!AE17)</f>
        <v/>
      </c>
      <c r="AF17" s="24">
        <f>SUM('Org_1:Org_8'!AF17)</f>
        <v/>
      </c>
      <c r="AG17" s="24">
        <f>SUM('Org_1:Org_8'!AG17)</f>
        <v/>
      </c>
      <c r="AH17" s="24">
        <f>SUM('Org_1:Org_8'!AH17)</f>
        <v/>
      </c>
      <c r="AI17" s="24">
        <f>SUM('Org_1:Org_8'!AI17)</f>
        <v/>
      </c>
      <c r="AJ17" s="24">
        <f>SUM('Org_1:Org_8'!AJ17)</f>
        <v/>
      </c>
      <c r="AK17" s="24">
        <f>SUM('Org_1:Org_8'!AK17)</f>
        <v/>
      </c>
      <c r="AL17" s="24">
        <f>SUM('Org_1:Org_8'!AL17)</f>
        <v/>
      </c>
      <c r="AM17" s="24">
        <f>SUM('Org_1:Org_8'!AM17)</f>
        <v/>
      </c>
      <c r="AN17" s="24">
        <f>SUM('Org_1:Org_8'!AN17)</f>
        <v/>
      </c>
      <c r="AO17" s="24">
        <f>SUM('Org_1:Org_8'!AO17)</f>
        <v/>
      </c>
      <c r="AP17" s="24">
        <f>SUM('Org_1:Org_8'!AP17)</f>
        <v/>
      </c>
      <c r="AQ17" s="24">
        <f>SUM('Org_1:Org_8'!AQ17)</f>
        <v/>
      </c>
      <c r="AR17" s="24">
        <f>SUM('Org_1:Org_8'!AR17)</f>
        <v/>
      </c>
      <c r="AS17" s="24">
        <f>SUM('Org_1:Org_8'!AS17)</f>
        <v/>
      </c>
      <c r="AT17" s="24">
        <f>SUM('Org_1:Org_8'!AT17)</f>
        <v/>
      </c>
      <c r="AU17" s="24">
        <f>SUM('Org_1:Org_8'!AU17)</f>
        <v/>
      </c>
      <c r="AV17" s="24">
        <f>SUM('Org_1:Org_8'!AV17)</f>
        <v/>
      </c>
      <c r="AW17" s="24">
        <f>SUM('Org_1:Org_8'!AW17)</f>
        <v/>
      </c>
      <c r="AX17" s="24">
        <f>SUM('Org_1:Org_8'!AX17)</f>
        <v/>
      </c>
    </row>
    <row r="18">
      <c r="A18" t="inlineStr">
        <is>
          <t>Professional services — Actual</t>
        </is>
      </c>
      <c r="B18" s="5" t="inlineStr">
        <is>
          <t>$K · auto</t>
        </is>
      </c>
      <c r="C18" s="24">
        <f>SUM('Org_1:Org_8'!C18)</f>
        <v/>
      </c>
      <c r="D18" s="24">
        <f>SUM('Org_1:Org_8'!D18)</f>
        <v/>
      </c>
      <c r="E18" s="24">
        <f>SUM('Org_1:Org_8'!E18)</f>
        <v/>
      </c>
      <c r="F18" s="24">
        <f>SUM('Org_1:Org_8'!F18)</f>
        <v/>
      </c>
      <c r="G18" s="24">
        <f>SUM('Org_1:Org_8'!G18)</f>
        <v/>
      </c>
      <c r="H18" s="24">
        <f>SUM('Org_1:Org_8'!H18)</f>
        <v/>
      </c>
      <c r="I18" s="24">
        <f>SUM('Org_1:Org_8'!I18)</f>
        <v/>
      </c>
      <c r="J18" s="24">
        <f>SUM('Org_1:Org_8'!J18)</f>
        <v/>
      </c>
      <c r="K18" s="24">
        <f>SUM('Org_1:Org_8'!K18)</f>
        <v/>
      </c>
      <c r="L18" s="24">
        <f>SUM('Org_1:Org_8'!L18)</f>
        <v/>
      </c>
      <c r="M18" s="24">
        <f>SUM('Org_1:Org_8'!M18)</f>
        <v/>
      </c>
      <c r="N18" s="24">
        <f>SUM('Org_1:Org_8'!N18)</f>
        <v/>
      </c>
      <c r="O18" s="24">
        <f>SUM('Org_1:Org_8'!O18)</f>
        <v/>
      </c>
      <c r="P18" s="24">
        <f>SUM('Org_1:Org_8'!P18)</f>
        <v/>
      </c>
      <c r="Q18" s="24">
        <f>SUM('Org_1:Org_8'!Q18)</f>
        <v/>
      </c>
      <c r="R18" s="24">
        <f>SUM('Org_1:Org_8'!R18)</f>
        <v/>
      </c>
      <c r="S18" s="24">
        <f>SUM('Org_1:Org_8'!S18)</f>
        <v/>
      </c>
      <c r="T18" s="24">
        <f>SUM('Org_1:Org_8'!T18)</f>
        <v/>
      </c>
      <c r="U18" s="24">
        <f>SUM('Org_1:Org_8'!U18)</f>
        <v/>
      </c>
      <c r="V18" s="24">
        <f>SUM('Org_1:Org_8'!V18)</f>
        <v/>
      </c>
      <c r="W18" s="24">
        <f>SUM('Org_1:Org_8'!W18)</f>
        <v/>
      </c>
      <c r="X18" s="24">
        <f>SUM('Org_1:Org_8'!X18)</f>
        <v/>
      </c>
      <c r="Y18" s="24">
        <f>SUM('Org_1:Org_8'!Y18)</f>
        <v/>
      </c>
      <c r="Z18" s="24">
        <f>SUM('Org_1:Org_8'!Z18)</f>
        <v/>
      </c>
      <c r="AA18" s="24">
        <f>SUM('Org_1:Org_8'!AA18)</f>
        <v/>
      </c>
      <c r="AB18" s="24">
        <f>SUM('Org_1:Org_8'!AB18)</f>
        <v/>
      </c>
      <c r="AC18" s="24">
        <f>SUM('Org_1:Org_8'!AC18)</f>
        <v/>
      </c>
      <c r="AD18" s="24">
        <f>SUM('Org_1:Org_8'!AD18)</f>
        <v/>
      </c>
      <c r="AE18" s="24">
        <f>SUM('Org_1:Org_8'!AE18)</f>
        <v/>
      </c>
      <c r="AF18" s="24">
        <f>SUM('Org_1:Org_8'!AF18)</f>
        <v/>
      </c>
      <c r="AG18" s="24">
        <f>SUM('Org_1:Org_8'!AG18)</f>
        <v/>
      </c>
      <c r="AH18" s="24">
        <f>SUM('Org_1:Org_8'!AH18)</f>
        <v/>
      </c>
      <c r="AI18" s="24">
        <f>SUM('Org_1:Org_8'!AI18)</f>
        <v/>
      </c>
      <c r="AJ18" s="24">
        <f>SUM('Org_1:Org_8'!AJ18)</f>
        <v/>
      </c>
      <c r="AK18" s="24">
        <f>SUM('Org_1:Org_8'!AK18)</f>
        <v/>
      </c>
      <c r="AL18" s="24">
        <f>SUM('Org_1:Org_8'!AL18)</f>
        <v/>
      </c>
      <c r="AM18" s="24">
        <f>SUM('Org_1:Org_8'!AM18)</f>
        <v/>
      </c>
      <c r="AN18" s="24">
        <f>SUM('Org_1:Org_8'!AN18)</f>
        <v/>
      </c>
      <c r="AO18" s="24">
        <f>SUM('Org_1:Org_8'!AO18)</f>
        <v/>
      </c>
      <c r="AP18" s="24">
        <f>SUM('Org_1:Org_8'!AP18)</f>
        <v/>
      </c>
      <c r="AQ18" s="24">
        <f>SUM('Org_1:Org_8'!AQ18)</f>
        <v/>
      </c>
      <c r="AR18" s="24">
        <f>SUM('Org_1:Org_8'!AR18)</f>
        <v/>
      </c>
      <c r="AS18" s="24">
        <f>SUM('Org_1:Org_8'!AS18)</f>
        <v/>
      </c>
      <c r="AT18" s="24">
        <f>SUM('Org_1:Org_8'!AT18)</f>
        <v/>
      </c>
      <c r="AU18" s="24">
        <f>SUM('Org_1:Org_8'!AU18)</f>
        <v/>
      </c>
      <c r="AV18" s="24">
        <f>SUM('Org_1:Org_8'!AV18)</f>
        <v/>
      </c>
      <c r="AW18" s="24">
        <f>SUM('Org_1:Org_8'!AW18)</f>
        <v/>
      </c>
      <c r="AX18" s="24">
        <f>SUM('Org_1:Org_8'!AX18)</f>
        <v/>
      </c>
    </row>
    <row r="19">
      <c r="A19" t="inlineStr">
        <is>
          <t>Offshore contractors — Target</t>
        </is>
      </c>
      <c r="B19" s="5" t="inlineStr">
        <is>
          <t>$K · auto</t>
        </is>
      </c>
      <c r="C19" s="24">
        <f>SUM('Org_1:Org_8'!C19)</f>
        <v/>
      </c>
      <c r="D19" s="24">
        <f>SUM('Org_1:Org_8'!D19)</f>
        <v/>
      </c>
      <c r="E19" s="24">
        <f>SUM('Org_1:Org_8'!E19)</f>
        <v/>
      </c>
      <c r="F19" s="24">
        <f>SUM('Org_1:Org_8'!F19)</f>
        <v/>
      </c>
      <c r="G19" s="24">
        <f>SUM('Org_1:Org_8'!G19)</f>
        <v/>
      </c>
      <c r="H19" s="24">
        <f>SUM('Org_1:Org_8'!H19)</f>
        <v/>
      </c>
      <c r="I19" s="24">
        <f>SUM('Org_1:Org_8'!I19)</f>
        <v/>
      </c>
      <c r="J19" s="24">
        <f>SUM('Org_1:Org_8'!J19)</f>
        <v/>
      </c>
      <c r="K19" s="24">
        <f>SUM('Org_1:Org_8'!K19)</f>
        <v/>
      </c>
      <c r="L19" s="24">
        <f>SUM('Org_1:Org_8'!L19)</f>
        <v/>
      </c>
      <c r="M19" s="24">
        <f>SUM('Org_1:Org_8'!M19)</f>
        <v/>
      </c>
      <c r="N19" s="24">
        <f>SUM('Org_1:Org_8'!N19)</f>
        <v/>
      </c>
      <c r="O19" s="24">
        <f>SUM('Org_1:Org_8'!O19)</f>
        <v/>
      </c>
      <c r="P19" s="24">
        <f>SUM('Org_1:Org_8'!P19)</f>
        <v/>
      </c>
      <c r="Q19" s="24">
        <f>SUM('Org_1:Org_8'!Q19)</f>
        <v/>
      </c>
      <c r="R19" s="24">
        <f>SUM('Org_1:Org_8'!R19)</f>
        <v/>
      </c>
      <c r="S19" s="24">
        <f>SUM('Org_1:Org_8'!S19)</f>
        <v/>
      </c>
      <c r="T19" s="24">
        <f>SUM('Org_1:Org_8'!T19)</f>
        <v/>
      </c>
      <c r="U19" s="24">
        <f>SUM('Org_1:Org_8'!U19)</f>
        <v/>
      </c>
      <c r="V19" s="24">
        <f>SUM('Org_1:Org_8'!V19)</f>
        <v/>
      </c>
      <c r="W19" s="24">
        <f>SUM('Org_1:Org_8'!W19)</f>
        <v/>
      </c>
      <c r="X19" s="24">
        <f>SUM('Org_1:Org_8'!X19)</f>
        <v/>
      </c>
      <c r="Y19" s="24">
        <f>SUM('Org_1:Org_8'!Y19)</f>
        <v/>
      </c>
      <c r="Z19" s="24">
        <f>SUM('Org_1:Org_8'!Z19)</f>
        <v/>
      </c>
      <c r="AA19" s="24">
        <f>SUM('Org_1:Org_8'!AA19)</f>
        <v/>
      </c>
      <c r="AB19" s="24">
        <f>SUM('Org_1:Org_8'!AB19)</f>
        <v/>
      </c>
      <c r="AC19" s="24">
        <f>SUM('Org_1:Org_8'!AC19)</f>
        <v/>
      </c>
      <c r="AD19" s="24">
        <f>SUM('Org_1:Org_8'!AD19)</f>
        <v/>
      </c>
      <c r="AE19" s="24">
        <f>SUM('Org_1:Org_8'!AE19)</f>
        <v/>
      </c>
      <c r="AF19" s="24">
        <f>SUM('Org_1:Org_8'!AF19)</f>
        <v/>
      </c>
      <c r="AG19" s="24">
        <f>SUM('Org_1:Org_8'!AG19)</f>
        <v/>
      </c>
      <c r="AH19" s="24">
        <f>SUM('Org_1:Org_8'!AH19)</f>
        <v/>
      </c>
      <c r="AI19" s="24">
        <f>SUM('Org_1:Org_8'!AI19)</f>
        <v/>
      </c>
      <c r="AJ19" s="24">
        <f>SUM('Org_1:Org_8'!AJ19)</f>
        <v/>
      </c>
      <c r="AK19" s="24">
        <f>SUM('Org_1:Org_8'!AK19)</f>
        <v/>
      </c>
      <c r="AL19" s="24">
        <f>SUM('Org_1:Org_8'!AL19)</f>
        <v/>
      </c>
      <c r="AM19" s="24">
        <f>SUM('Org_1:Org_8'!AM19)</f>
        <v/>
      </c>
      <c r="AN19" s="24">
        <f>SUM('Org_1:Org_8'!AN19)</f>
        <v/>
      </c>
      <c r="AO19" s="24">
        <f>SUM('Org_1:Org_8'!AO19)</f>
        <v/>
      </c>
      <c r="AP19" s="24">
        <f>SUM('Org_1:Org_8'!AP19)</f>
        <v/>
      </c>
      <c r="AQ19" s="24">
        <f>SUM('Org_1:Org_8'!AQ19)</f>
        <v/>
      </c>
      <c r="AR19" s="24">
        <f>SUM('Org_1:Org_8'!AR19)</f>
        <v/>
      </c>
      <c r="AS19" s="24">
        <f>SUM('Org_1:Org_8'!AS19)</f>
        <v/>
      </c>
      <c r="AT19" s="24">
        <f>SUM('Org_1:Org_8'!AT19)</f>
        <v/>
      </c>
      <c r="AU19" s="24">
        <f>SUM('Org_1:Org_8'!AU19)</f>
        <v/>
      </c>
      <c r="AV19" s="24">
        <f>SUM('Org_1:Org_8'!AV19)</f>
        <v/>
      </c>
      <c r="AW19" s="24">
        <f>SUM('Org_1:Org_8'!AW19)</f>
        <v/>
      </c>
      <c r="AX19" s="24">
        <f>SUM('Org_1:Org_8'!AX19)</f>
        <v/>
      </c>
    </row>
    <row r="20">
      <c r="A20" t="inlineStr">
        <is>
          <t>Offshore contractors — Actual</t>
        </is>
      </c>
      <c r="B20" s="5" t="inlineStr">
        <is>
          <t>$K · auto</t>
        </is>
      </c>
      <c r="C20" s="24">
        <f>SUM('Org_1:Org_8'!C20)</f>
        <v/>
      </c>
      <c r="D20" s="24">
        <f>SUM('Org_1:Org_8'!D20)</f>
        <v/>
      </c>
      <c r="E20" s="24">
        <f>SUM('Org_1:Org_8'!E20)</f>
        <v/>
      </c>
      <c r="F20" s="24">
        <f>SUM('Org_1:Org_8'!F20)</f>
        <v/>
      </c>
      <c r="G20" s="24">
        <f>SUM('Org_1:Org_8'!G20)</f>
        <v/>
      </c>
      <c r="H20" s="24">
        <f>SUM('Org_1:Org_8'!H20)</f>
        <v/>
      </c>
      <c r="I20" s="24">
        <f>SUM('Org_1:Org_8'!I20)</f>
        <v/>
      </c>
      <c r="J20" s="24">
        <f>SUM('Org_1:Org_8'!J20)</f>
        <v/>
      </c>
      <c r="K20" s="24">
        <f>SUM('Org_1:Org_8'!K20)</f>
        <v/>
      </c>
      <c r="L20" s="24">
        <f>SUM('Org_1:Org_8'!L20)</f>
        <v/>
      </c>
      <c r="M20" s="24">
        <f>SUM('Org_1:Org_8'!M20)</f>
        <v/>
      </c>
      <c r="N20" s="24">
        <f>SUM('Org_1:Org_8'!N20)</f>
        <v/>
      </c>
      <c r="O20" s="24">
        <f>SUM('Org_1:Org_8'!O20)</f>
        <v/>
      </c>
      <c r="P20" s="24">
        <f>SUM('Org_1:Org_8'!P20)</f>
        <v/>
      </c>
      <c r="Q20" s="24">
        <f>SUM('Org_1:Org_8'!Q20)</f>
        <v/>
      </c>
      <c r="R20" s="24">
        <f>SUM('Org_1:Org_8'!R20)</f>
        <v/>
      </c>
      <c r="S20" s="24">
        <f>SUM('Org_1:Org_8'!S20)</f>
        <v/>
      </c>
      <c r="T20" s="24">
        <f>SUM('Org_1:Org_8'!T20)</f>
        <v/>
      </c>
      <c r="U20" s="24">
        <f>SUM('Org_1:Org_8'!U20)</f>
        <v/>
      </c>
      <c r="V20" s="24">
        <f>SUM('Org_1:Org_8'!V20)</f>
        <v/>
      </c>
      <c r="W20" s="24">
        <f>SUM('Org_1:Org_8'!W20)</f>
        <v/>
      </c>
      <c r="X20" s="24">
        <f>SUM('Org_1:Org_8'!X20)</f>
        <v/>
      </c>
      <c r="Y20" s="24">
        <f>SUM('Org_1:Org_8'!Y20)</f>
        <v/>
      </c>
      <c r="Z20" s="24">
        <f>SUM('Org_1:Org_8'!Z20)</f>
        <v/>
      </c>
      <c r="AA20" s="24">
        <f>SUM('Org_1:Org_8'!AA20)</f>
        <v/>
      </c>
      <c r="AB20" s="24">
        <f>SUM('Org_1:Org_8'!AB20)</f>
        <v/>
      </c>
      <c r="AC20" s="24">
        <f>SUM('Org_1:Org_8'!AC20)</f>
        <v/>
      </c>
      <c r="AD20" s="24">
        <f>SUM('Org_1:Org_8'!AD20)</f>
        <v/>
      </c>
      <c r="AE20" s="24">
        <f>SUM('Org_1:Org_8'!AE20)</f>
        <v/>
      </c>
      <c r="AF20" s="24">
        <f>SUM('Org_1:Org_8'!AF20)</f>
        <v/>
      </c>
      <c r="AG20" s="24">
        <f>SUM('Org_1:Org_8'!AG20)</f>
        <v/>
      </c>
      <c r="AH20" s="24">
        <f>SUM('Org_1:Org_8'!AH20)</f>
        <v/>
      </c>
      <c r="AI20" s="24">
        <f>SUM('Org_1:Org_8'!AI20)</f>
        <v/>
      </c>
      <c r="AJ20" s="24">
        <f>SUM('Org_1:Org_8'!AJ20)</f>
        <v/>
      </c>
      <c r="AK20" s="24">
        <f>SUM('Org_1:Org_8'!AK20)</f>
        <v/>
      </c>
      <c r="AL20" s="24">
        <f>SUM('Org_1:Org_8'!AL20)</f>
        <v/>
      </c>
      <c r="AM20" s="24">
        <f>SUM('Org_1:Org_8'!AM20)</f>
        <v/>
      </c>
      <c r="AN20" s="24">
        <f>SUM('Org_1:Org_8'!AN20)</f>
        <v/>
      </c>
      <c r="AO20" s="24">
        <f>SUM('Org_1:Org_8'!AO20)</f>
        <v/>
      </c>
      <c r="AP20" s="24">
        <f>SUM('Org_1:Org_8'!AP20)</f>
        <v/>
      </c>
      <c r="AQ20" s="24">
        <f>SUM('Org_1:Org_8'!AQ20)</f>
        <v/>
      </c>
      <c r="AR20" s="24">
        <f>SUM('Org_1:Org_8'!AR20)</f>
        <v/>
      </c>
      <c r="AS20" s="24">
        <f>SUM('Org_1:Org_8'!AS20)</f>
        <v/>
      </c>
      <c r="AT20" s="24">
        <f>SUM('Org_1:Org_8'!AT20)</f>
        <v/>
      </c>
      <c r="AU20" s="24">
        <f>SUM('Org_1:Org_8'!AU20)</f>
        <v/>
      </c>
      <c r="AV20" s="24">
        <f>SUM('Org_1:Org_8'!AV20)</f>
        <v/>
      </c>
      <c r="AW20" s="24">
        <f>SUM('Org_1:Org_8'!AW20)</f>
        <v/>
      </c>
      <c r="AX20" s="24">
        <f>SUM('Org_1:Org_8'!AX20)</f>
        <v/>
      </c>
    </row>
    <row r="21">
      <c r="A21" t="inlineStr">
        <is>
          <t>Onshore contractors — Target</t>
        </is>
      </c>
      <c r="B21" s="5" t="inlineStr">
        <is>
          <t>$K · auto</t>
        </is>
      </c>
      <c r="C21" s="24">
        <f>SUM('Org_1:Org_8'!C21)</f>
        <v/>
      </c>
      <c r="D21" s="24">
        <f>SUM('Org_1:Org_8'!D21)</f>
        <v/>
      </c>
      <c r="E21" s="24">
        <f>SUM('Org_1:Org_8'!E21)</f>
        <v/>
      </c>
      <c r="F21" s="24">
        <f>SUM('Org_1:Org_8'!F21)</f>
        <v/>
      </c>
      <c r="G21" s="24">
        <f>SUM('Org_1:Org_8'!G21)</f>
        <v/>
      </c>
      <c r="H21" s="24">
        <f>SUM('Org_1:Org_8'!H21)</f>
        <v/>
      </c>
      <c r="I21" s="24">
        <f>SUM('Org_1:Org_8'!I21)</f>
        <v/>
      </c>
      <c r="J21" s="24">
        <f>SUM('Org_1:Org_8'!J21)</f>
        <v/>
      </c>
      <c r="K21" s="24">
        <f>SUM('Org_1:Org_8'!K21)</f>
        <v/>
      </c>
      <c r="L21" s="24">
        <f>SUM('Org_1:Org_8'!L21)</f>
        <v/>
      </c>
      <c r="M21" s="24">
        <f>SUM('Org_1:Org_8'!M21)</f>
        <v/>
      </c>
      <c r="N21" s="24">
        <f>SUM('Org_1:Org_8'!N21)</f>
        <v/>
      </c>
      <c r="O21" s="24">
        <f>SUM('Org_1:Org_8'!O21)</f>
        <v/>
      </c>
      <c r="P21" s="24">
        <f>SUM('Org_1:Org_8'!P21)</f>
        <v/>
      </c>
      <c r="Q21" s="24">
        <f>SUM('Org_1:Org_8'!Q21)</f>
        <v/>
      </c>
      <c r="R21" s="24">
        <f>SUM('Org_1:Org_8'!R21)</f>
        <v/>
      </c>
      <c r="S21" s="24">
        <f>SUM('Org_1:Org_8'!S21)</f>
        <v/>
      </c>
      <c r="T21" s="24">
        <f>SUM('Org_1:Org_8'!T21)</f>
        <v/>
      </c>
      <c r="U21" s="24">
        <f>SUM('Org_1:Org_8'!U21)</f>
        <v/>
      </c>
      <c r="V21" s="24">
        <f>SUM('Org_1:Org_8'!V21)</f>
        <v/>
      </c>
      <c r="W21" s="24">
        <f>SUM('Org_1:Org_8'!W21)</f>
        <v/>
      </c>
      <c r="X21" s="24">
        <f>SUM('Org_1:Org_8'!X21)</f>
        <v/>
      </c>
      <c r="Y21" s="24">
        <f>SUM('Org_1:Org_8'!Y21)</f>
        <v/>
      </c>
      <c r="Z21" s="24">
        <f>SUM('Org_1:Org_8'!Z21)</f>
        <v/>
      </c>
      <c r="AA21" s="24">
        <f>SUM('Org_1:Org_8'!AA21)</f>
        <v/>
      </c>
      <c r="AB21" s="24">
        <f>SUM('Org_1:Org_8'!AB21)</f>
        <v/>
      </c>
      <c r="AC21" s="24">
        <f>SUM('Org_1:Org_8'!AC21)</f>
        <v/>
      </c>
      <c r="AD21" s="24">
        <f>SUM('Org_1:Org_8'!AD21)</f>
        <v/>
      </c>
      <c r="AE21" s="24">
        <f>SUM('Org_1:Org_8'!AE21)</f>
        <v/>
      </c>
      <c r="AF21" s="24">
        <f>SUM('Org_1:Org_8'!AF21)</f>
        <v/>
      </c>
      <c r="AG21" s="24">
        <f>SUM('Org_1:Org_8'!AG21)</f>
        <v/>
      </c>
      <c r="AH21" s="24">
        <f>SUM('Org_1:Org_8'!AH21)</f>
        <v/>
      </c>
      <c r="AI21" s="24">
        <f>SUM('Org_1:Org_8'!AI21)</f>
        <v/>
      </c>
      <c r="AJ21" s="24">
        <f>SUM('Org_1:Org_8'!AJ21)</f>
        <v/>
      </c>
      <c r="AK21" s="24">
        <f>SUM('Org_1:Org_8'!AK21)</f>
        <v/>
      </c>
      <c r="AL21" s="24">
        <f>SUM('Org_1:Org_8'!AL21)</f>
        <v/>
      </c>
      <c r="AM21" s="24">
        <f>SUM('Org_1:Org_8'!AM21)</f>
        <v/>
      </c>
      <c r="AN21" s="24">
        <f>SUM('Org_1:Org_8'!AN21)</f>
        <v/>
      </c>
      <c r="AO21" s="24">
        <f>SUM('Org_1:Org_8'!AO21)</f>
        <v/>
      </c>
      <c r="AP21" s="24">
        <f>SUM('Org_1:Org_8'!AP21)</f>
        <v/>
      </c>
      <c r="AQ21" s="24">
        <f>SUM('Org_1:Org_8'!AQ21)</f>
        <v/>
      </c>
      <c r="AR21" s="24">
        <f>SUM('Org_1:Org_8'!AR21)</f>
        <v/>
      </c>
      <c r="AS21" s="24">
        <f>SUM('Org_1:Org_8'!AS21)</f>
        <v/>
      </c>
      <c r="AT21" s="24">
        <f>SUM('Org_1:Org_8'!AT21)</f>
        <v/>
      </c>
      <c r="AU21" s="24">
        <f>SUM('Org_1:Org_8'!AU21)</f>
        <v/>
      </c>
      <c r="AV21" s="24">
        <f>SUM('Org_1:Org_8'!AV21)</f>
        <v/>
      </c>
      <c r="AW21" s="24">
        <f>SUM('Org_1:Org_8'!AW21)</f>
        <v/>
      </c>
      <c r="AX21" s="24">
        <f>SUM('Org_1:Org_8'!AX21)</f>
        <v/>
      </c>
    </row>
    <row r="22">
      <c r="A22" t="inlineStr">
        <is>
          <t>Onshore contractors — Actual</t>
        </is>
      </c>
      <c r="B22" s="5" t="inlineStr">
        <is>
          <t>$K · auto</t>
        </is>
      </c>
      <c r="C22" s="24">
        <f>SUM('Org_1:Org_8'!C22)</f>
        <v/>
      </c>
      <c r="D22" s="24">
        <f>SUM('Org_1:Org_8'!D22)</f>
        <v/>
      </c>
      <c r="E22" s="24">
        <f>SUM('Org_1:Org_8'!E22)</f>
        <v/>
      </c>
      <c r="F22" s="24">
        <f>SUM('Org_1:Org_8'!F22)</f>
        <v/>
      </c>
      <c r="G22" s="24">
        <f>SUM('Org_1:Org_8'!G22)</f>
        <v/>
      </c>
      <c r="H22" s="24">
        <f>SUM('Org_1:Org_8'!H22)</f>
        <v/>
      </c>
      <c r="I22" s="24">
        <f>SUM('Org_1:Org_8'!I22)</f>
        <v/>
      </c>
      <c r="J22" s="24">
        <f>SUM('Org_1:Org_8'!J22)</f>
        <v/>
      </c>
      <c r="K22" s="24">
        <f>SUM('Org_1:Org_8'!K22)</f>
        <v/>
      </c>
      <c r="L22" s="24">
        <f>SUM('Org_1:Org_8'!L22)</f>
        <v/>
      </c>
      <c r="M22" s="24">
        <f>SUM('Org_1:Org_8'!M22)</f>
        <v/>
      </c>
      <c r="N22" s="24">
        <f>SUM('Org_1:Org_8'!N22)</f>
        <v/>
      </c>
      <c r="O22" s="24">
        <f>SUM('Org_1:Org_8'!O22)</f>
        <v/>
      </c>
      <c r="P22" s="24">
        <f>SUM('Org_1:Org_8'!P22)</f>
        <v/>
      </c>
      <c r="Q22" s="24">
        <f>SUM('Org_1:Org_8'!Q22)</f>
        <v/>
      </c>
      <c r="R22" s="24">
        <f>SUM('Org_1:Org_8'!R22)</f>
        <v/>
      </c>
      <c r="S22" s="24">
        <f>SUM('Org_1:Org_8'!S22)</f>
        <v/>
      </c>
      <c r="T22" s="24">
        <f>SUM('Org_1:Org_8'!T22)</f>
        <v/>
      </c>
      <c r="U22" s="24">
        <f>SUM('Org_1:Org_8'!U22)</f>
        <v/>
      </c>
      <c r="V22" s="24">
        <f>SUM('Org_1:Org_8'!V22)</f>
        <v/>
      </c>
      <c r="W22" s="24">
        <f>SUM('Org_1:Org_8'!W22)</f>
        <v/>
      </c>
      <c r="X22" s="24">
        <f>SUM('Org_1:Org_8'!X22)</f>
        <v/>
      </c>
      <c r="Y22" s="24">
        <f>SUM('Org_1:Org_8'!Y22)</f>
        <v/>
      </c>
      <c r="Z22" s="24">
        <f>SUM('Org_1:Org_8'!Z22)</f>
        <v/>
      </c>
      <c r="AA22" s="24">
        <f>SUM('Org_1:Org_8'!AA22)</f>
        <v/>
      </c>
      <c r="AB22" s="24">
        <f>SUM('Org_1:Org_8'!AB22)</f>
        <v/>
      </c>
      <c r="AC22" s="24">
        <f>SUM('Org_1:Org_8'!AC22)</f>
        <v/>
      </c>
      <c r="AD22" s="24">
        <f>SUM('Org_1:Org_8'!AD22)</f>
        <v/>
      </c>
      <c r="AE22" s="24">
        <f>SUM('Org_1:Org_8'!AE22)</f>
        <v/>
      </c>
      <c r="AF22" s="24">
        <f>SUM('Org_1:Org_8'!AF22)</f>
        <v/>
      </c>
      <c r="AG22" s="24">
        <f>SUM('Org_1:Org_8'!AG22)</f>
        <v/>
      </c>
      <c r="AH22" s="24">
        <f>SUM('Org_1:Org_8'!AH22)</f>
        <v/>
      </c>
      <c r="AI22" s="24">
        <f>SUM('Org_1:Org_8'!AI22)</f>
        <v/>
      </c>
      <c r="AJ22" s="24">
        <f>SUM('Org_1:Org_8'!AJ22)</f>
        <v/>
      </c>
      <c r="AK22" s="24">
        <f>SUM('Org_1:Org_8'!AK22)</f>
        <v/>
      </c>
      <c r="AL22" s="24">
        <f>SUM('Org_1:Org_8'!AL22)</f>
        <v/>
      </c>
      <c r="AM22" s="24">
        <f>SUM('Org_1:Org_8'!AM22)</f>
        <v/>
      </c>
      <c r="AN22" s="24">
        <f>SUM('Org_1:Org_8'!AN22)</f>
        <v/>
      </c>
      <c r="AO22" s="24">
        <f>SUM('Org_1:Org_8'!AO22)</f>
        <v/>
      </c>
      <c r="AP22" s="24">
        <f>SUM('Org_1:Org_8'!AP22)</f>
        <v/>
      </c>
      <c r="AQ22" s="24">
        <f>SUM('Org_1:Org_8'!AQ22)</f>
        <v/>
      </c>
      <c r="AR22" s="24">
        <f>SUM('Org_1:Org_8'!AR22)</f>
        <v/>
      </c>
      <c r="AS22" s="24">
        <f>SUM('Org_1:Org_8'!AS22)</f>
        <v/>
      </c>
      <c r="AT22" s="24">
        <f>SUM('Org_1:Org_8'!AT22)</f>
        <v/>
      </c>
      <c r="AU22" s="24">
        <f>SUM('Org_1:Org_8'!AU22)</f>
        <v/>
      </c>
      <c r="AV22" s="24">
        <f>SUM('Org_1:Org_8'!AV22)</f>
        <v/>
      </c>
      <c r="AW22" s="24">
        <f>SUM('Org_1:Org_8'!AW22)</f>
        <v/>
      </c>
      <c r="AX22" s="24">
        <f>SUM('Org_1:Org_8'!AX22)</f>
        <v/>
      </c>
    </row>
    <row r="23">
      <c r="A23" t="inlineStr">
        <is>
          <t>Employees / Other — Target</t>
        </is>
      </c>
      <c r="B23" s="5" t="inlineStr">
        <is>
          <t>$K · auto</t>
        </is>
      </c>
      <c r="C23" s="24">
        <f>SUM('Org_1:Org_8'!C23)</f>
        <v/>
      </c>
      <c r="D23" s="24">
        <f>SUM('Org_1:Org_8'!D23)</f>
        <v/>
      </c>
      <c r="E23" s="24">
        <f>SUM('Org_1:Org_8'!E23)</f>
        <v/>
      </c>
      <c r="F23" s="24">
        <f>SUM('Org_1:Org_8'!F23)</f>
        <v/>
      </c>
      <c r="G23" s="24">
        <f>SUM('Org_1:Org_8'!G23)</f>
        <v/>
      </c>
      <c r="H23" s="24">
        <f>SUM('Org_1:Org_8'!H23)</f>
        <v/>
      </c>
      <c r="I23" s="24">
        <f>SUM('Org_1:Org_8'!I23)</f>
        <v/>
      </c>
      <c r="J23" s="24">
        <f>SUM('Org_1:Org_8'!J23)</f>
        <v/>
      </c>
      <c r="K23" s="24">
        <f>SUM('Org_1:Org_8'!K23)</f>
        <v/>
      </c>
      <c r="L23" s="24">
        <f>SUM('Org_1:Org_8'!L23)</f>
        <v/>
      </c>
      <c r="M23" s="24">
        <f>SUM('Org_1:Org_8'!M23)</f>
        <v/>
      </c>
      <c r="N23" s="24">
        <f>SUM('Org_1:Org_8'!N23)</f>
        <v/>
      </c>
      <c r="O23" s="24">
        <f>SUM('Org_1:Org_8'!O23)</f>
        <v/>
      </c>
      <c r="P23" s="24">
        <f>SUM('Org_1:Org_8'!P23)</f>
        <v/>
      </c>
      <c r="Q23" s="24">
        <f>SUM('Org_1:Org_8'!Q23)</f>
        <v/>
      </c>
      <c r="R23" s="24">
        <f>SUM('Org_1:Org_8'!R23)</f>
        <v/>
      </c>
      <c r="S23" s="24">
        <f>SUM('Org_1:Org_8'!S23)</f>
        <v/>
      </c>
      <c r="T23" s="24">
        <f>SUM('Org_1:Org_8'!T23)</f>
        <v/>
      </c>
      <c r="U23" s="24">
        <f>SUM('Org_1:Org_8'!U23)</f>
        <v/>
      </c>
      <c r="V23" s="24">
        <f>SUM('Org_1:Org_8'!V23)</f>
        <v/>
      </c>
      <c r="W23" s="24">
        <f>SUM('Org_1:Org_8'!W23)</f>
        <v/>
      </c>
      <c r="X23" s="24">
        <f>SUM('Org_1:Org_8'!X23)</f>
        <v/>
      </c>
      <c r="Y23" s="24">
        <f>SUM('Org_1:Org_8'!Y23)</f>
        <v/>
      </c>
      <c r="Z23" s="24">
        <f>SUM('Org_1:Org_8'!Z23)</f>
        <v/>
      </c>
      <c r="AA23" s="24">
        <f>SUM('Org_1:Org_8'!AA23)</f>
        <v/>
      </c>
      <c r="AB23" s="24">
        <f>SUM('Org_1:Org_8'!AB23)</f>
        <v/>
      </c>
      <c r="AC23" s="24">
        <f>SUM('Org_1:Org_8'!AC23)</f>
        <v/>
      </c>
      <c r="AD23" s="24">
        <f>SUM('Org_1:Org_8'!AD23)</f>
        <v/>
      </c>
      <c r="AE23" s="24">
        <f>SUM('Org_1:Org_8'!AE23)</f>
        <v/>
      </c>
      <c r="AF23" s="24">
        <f>SUM('Org_1:Org_8'!AF23)</f>
        <v/>
      </c>
      <c r="AG23" s="24">
        <f>SUM('Org_1:Org_8'!AG23)</f>
        <v/>
      </c>
      <c r="AH23" s="24">
        <f>SUM('Org_1:Org_8'!AH23)</f>
        <v/>
      </c>
      <c r="AI23" s="24">
        <f>SUM('Org_1:Org_8'!AI23)</f>
        <v/>
      </c>
      <c r="AJ23" s="24">
        <f>SUM('Org_1:Org_8'!AJ23)</f>
        <v/>
      </c>
      <c r="AK23" s="24">
        <f>SUM('Org_1:Org_8'!AK23)</f>
        <v/>
      </c>
      <c r="AL23" s="24">
        <f>SUM('Org_1:Org_8'!AL23)</f>
        <v/>
      </c>
      <c r="AM23" s="24">
        <f>SUM('Org_1:Org_8'!AM23)</f>
        <v/>
      </c>
      <c r="AN23" s="24">
        <f>SUM('Org_1:Org_8'!AN23)</f>
        <v/>
      </c>
      <c r="AO23" s="24">
        <f>SUM('Org_1:Org_8'!AO23)</f>
        <v/>
      </c>
      <c r="AP23" s="24">
        <f>SUM('Org_1:Org_8'!AP23)</f>
        <v/>
      </c>
      <c r="AQ23" s="24">
        <f>SUM('Org_1:Org_8'!AQ23)</f>
        <v/>
      </c>
      <c r="AR23" s="24">
        <f>SUM('Org_1:Org_8'!AR23)</f>
        <v/>
      </c>
      <c r="AS23" s="24">
        <f>SUM('Org_1:Org_8'!AS23)</f>
        <v/>
      </c>
      <c r="AT23" s="24">
        <f>SUM('Org_1:Org_8'!AT23)</f>
        <v/>
      </c>
      <c r="AU23" s="24">
        <f>SUM('Org_1:Org_8'!AU23)</f>
        <v/>
      </c>
      <c r="AV23" s="24">
        <f>SUM('Org_1:Org_8'!AV23)</f>
        <v/>
      </c>
      <c r="AW23" s="24">
        <f>SUM('Org_1:Org_8'!AW23)</f>
        <v/>
      </c>
      <c r="AX23" s="24">
        <f>SUM('Org_1:Org_8'!AX23)</f>
        <v/>
      </c>
    </row>
    <row r="24">
      <c r="A24" t="inlineStr">
        <is>
          <t>Employees / Other — Actual</t>
        </is>
      </c>
      <c r="B24" s="5" t="inlineStr">
        <is>
          <t>$K · auto</t>
        </is>
      </c>
      <c r="C24" s="24">
        <f>SUM('Org_1:Org_8'!C24)</f>
        <v/>
      </c>
      <c r="D24" s="24">
        <f>SUM('Org_1:Org_8'!D24)</f>
        <v/>
      </c>
      <c r="E24" s="24">
        <f>SUM('Org_1:Org_8'!E24)</f>
        <v/>
      </c>
      <c r="F24" s="24">
        <f>SUM('Org_1:Org_8'!F24)</f>
        <v/>
      </c>
      <c r="G24" s="24">
        <f>SUM('Org_1:Org_8'!G24)</f>
        <v/>
      </c>
      <c r="H24" s="24">
        <f>SUM('Org_1:Org_8'!H24)</f>
        <v/>
      </c>
      <c r="I24" s="24">
        <f>SUM('Org_1:Org_8'!I24)</f>
        <v/>
      </c>
      <c r="J24" s="24">
        <f>SUM('Org_1:Org_8'!J24)</f>
        <v/>
      </c>
      <c r="K24" s="24">
        <f>SUM('Org_1:Org_8'!K24)</f>
        <v/>
      </c>
      <c r="L24" s="24">
        <f>SUM('Org_1:Org_8'!L24)</f>
        <v/>
      </c>
      <c r="M24" s="24">
        <f>SUM('Org_1:Org_8'!M24)</f>
        <v/>
      </c>
      <c r="N24" s="24">
        <f>SUM('Org_1:Org_8'!N24)</f>
        <v/>
      </c>
      <c r="O24" s="24">
        <f>SUM('Org_1:Org_8'!O24)</f>
        <v/>
      </c>
      <c r="P24" s="24">
        <f>SUM('Org_1:Org_8'!P24)</f>
        <v/>
      </c>
      <c r="Q24" s="24">
        <f>SUM('Org_1:Org_8'!Q24)</f>
        <v/>
      </c>
      <c r="R24" s="24">
        <f>SUM('Org_1:Org_8'!R24)</f>
        <v/>
      </c>
      <c r="S24" s="24">
        <f>SUM('Org_1:Org_8'!S24)</f>
        <v/>
      </c>
      <c r="T24" s="24">
        <f>SUM('Org_1:Org_8'!T24)</f>
        <v/>
      </c>
      <c r="U24" s="24">
        <f>SUM('Org_1:Org_8'!U24)</f>
        <v/>
      </c>
      <c r="V24" s="24">
        <f>SUM('Org_1:Org_8'!V24)</f>
        <v/>
      </c>
      <c r="W24" s="24">
        <f>SUM('Org_1:Org_8'!W24)</f>
        <v/>
      </c>
      <c r="X24" s="24">
        <f>SUM('Org_1:Org_8'!X24)</f>
        <v/>
      </c>
      <c r="Y24" s="24">
        <f>SUM('Org_1:Org_8'!Y24)</f>
        <v/>
      </c>
      <c r="Z24" s="24">
        <f>SUM('Org_1:Org_8'!Z24)</f>
        <v/>
      </c>
      <c r="AA24" s="24">
        <f>SUM('Org_1:Org_8'!AA24)</f>
        <v/>
      </c>
      <c r="AB24" s="24">
        <f>SUM('Org_1:Org_8'!AB24)</f>
        <v/>
      </c>
      <c r="AC24" s="24">
        <f>SUM('Org_1:Org_8'!AC24)</f>
        <v/>
      </c>
      <c r="AD24" s="24">
        <f>SUM('Org_1:Org_8'!AD24)</f>
        <v/>
      </c>
      <c r="AE24" s="24">
        <f>SUM('Org_1:Org_8'!AE24)</f>
        <v/>
      </c>
      <c r="AF24" s="24">
        <f>SUM('Org_1:Org_8'!AF24)</f>
        <v/>
      </c>
      <c r="AG24" s="24">
        <f>SUM('Org_1:Org_8'!AG24)</f>
        <v/>
      </c>
      <c r="AH24" s="24">
        <f>SUM('Org_1:Org_8'!AH24)</f>
        <v/>
      </c>
      <c r="AI24" s="24">
        <f>SUM('Org_1:Org_8'!AI24)</f>
        <v/>
      </c>
      <c r="AJ24" s="24">
        <f>SUM('Org_1:Org_8'!AJ24)</f>
        <v/>
      </c>
      <c r="AK24" s="24">
        <f>SUM('Org_1:Org_8'!AK24)</f>
        <v/>
      </c>
      <c r="AL24" s="24">
        <f>SUM('Org_1:Org_8'!AL24)</f>
        <v/>
      </c>
      <c r="AM24" s="24">
        <f>SUM('Org_1:Org_8'!AM24)</f>
        <v/>
      </c>
      <c r="AN24" s="24">
        <f>SUM('Org_1:Org_8'!AN24)</f>
        <v/>
      </c>
      <c r="AO24" s="24">
        <f>SUM('Org_1:Org_8'!AO24)</f>
        <v/>
      </c>
      <c r="AP24" s="24">
        <f>SUM('Org_1:Org_8'!AP24)</f>
        <v/>
      </c>
      <c r="AQ24" s="24">
        <f>SUM('Org_1:Org_8'!AQ24)</f>
        <v/>
      </c>
      <c r="AR24" s="24">
        <f>SUM('Org_1:Org_8'!AR24)</f>
        <v/>
      </c>
      <c r="AS24" s="24">
        <f>SUM('Org_1:Org_8'!AS24)</f>
        <v/>
      </c>
      <c r="AT24" s="24">
        <f>SUM('Org_1:Org_8'!AT24)</f>
        <v/>
      </c>
      <c r="AU24" s="24">
        <f>SUM('Org_1:Org_8'!AU24)</f>
        <v/>
      </c>
      <c r="AV24" s="24">
        <f>SUM('Org_1:Org_8'!AV24)</f>
        <v/>
      </c>
      <c r="AW24" s="24">
        <f>SUM('Org_1:Org_8'!AW24)</f>
        <v/>
      </c>
      <c r="AX24" s="24">
        <f>SUM('Org_1:Org_8'!AX24)</f>
        <v/>
      </c>
    </row>
    <row r="25">
      <c r="A25" t="inlineStr">
        <is>
          <t>Total gross reductions — Target</t>
        </is>
      </c>
      <c r="B25" s="5" t="inlineStr">
        <is>
          <t>$K · auto</t>
        </is>
      </c>
      <c r="C25" s="15">
        <f>C17+C19+C21+C23</f>
        <v/>
      </c>
      <c r="D25" s="15">
        <f>D17+D19+D21+D23</f>
        <v/>
      </c>
      <c r="E25" s="15">
        <f>E17+E19+E21+E23</f>
        <v/>
      </c>
      <c r="F25" s="15">
        <f>F17+F19+F21+F23</f>
        <v/>
      </c>
      <c r="G25" s="15">
        <f>G17+G19+G21+G23</f>
        <v/>
      </c>
      <c r="H25" s="15">
        <f>H17+H19+H21+H23</f>
        <v/>
      </c>
      <c r="I25" s="15">
        <f>I17+I19+I21+I23</f>
        <v/>
      </c>
      <c r="J25" s="15">
        <f>J17+J19+J21+J23</f>
        <v/>
      </c>
      <c r="K25" s="15">
        <f>K17+K19+K21+K23</f>
        <v/>
      </c>
      <c r="L25" s="15">
        <f>L17+L19+L21+L23</f>
        <v/>
      </c>
      <c r="M25" s="15">
        <f>M17+M19+M21+M23</f>
        <v/>
      </c>
      <c r="N25" s="15">
        <f>N17+N19+N21+N23</f>
        <v/>
      </c>
      <c r="O25" s="15">
        <f>O17+O19+O21+O23</f>
        <v/>
      </c>
      <c r="P25" s="15">
        <f>P17+P19+P21+P23</f>
        <v/>
      </c>
      <c r="Q25" s="15">
        <f>Q17+Q19+Q21+Q23</f>
        <v/>
      </c>
      <c r="R25" s="15">
        <f>R17+R19+R21+R23</f>
        <v/>
      </c>
      <c r="S25" s="15">
        <f>S17+S19+S21+S23</f>
        <v/>
      </c>
      <c r="T25" s="15">
        <f>T17+T19+T21+T23</f>
        <v/>
      </c>
      <c r="U25" s="15">
        <f>U17+U19+U21+U23</f>
        <v/>
      </c>
      <c r="V25" s="15">
        <f>V17+V19+V21+V23</f>
        <v/>
      </c>
      <c r="W25" s="15">
        <f>W17+W19+W21+W23</f>
        <v/>
      </c>
      <c r="X25" s="15">
        <f>X17+X19+X21+X23</f>
        <v/>
      </c>
      <c r="Y25" s="15">
        <f>Y17+Y19+Y21+Y23</f>
        <v/>
      </c>
      <c r="Z25" s="15">
        <f>Z17+Z19+Z21+Z23</f>
        <v/>
      </c>
      <c r="AA25" s="15">
        <f>AA17+AA19+AA21+AA23</f>
        <v/>
      </c>
      <c r="AB25" s="15">
        <f>AB17+AB19+AB21+AB23</f>
        <v/>
      </c>
      <c r="AC25" s="15">
        <f>AC17+AC19+AC21+AC23</f>
        <v/>
      </c>
      <c r="AD25" s="15">
        <f>AD17+AD19+AD21+AD23</f>
        <v/>
      </c>
      <c r="AE25" s="15">
        <f>AE17+AE19+AE21+AE23</f>
        <v/>
      </c>
      <c r="AF25" s="15">
        <f>AF17+AF19+AF21+AF23</f>
        <v/>
      </c>
      <c r="AG25" s="15">
        <f>AG17+AG19+AG21+AG23</f>
        <v/>
      </c>
      <c r="AH25" s="15">
        <f>AH17+AH19+AH21+AH23</f>
        <v/>
      </c>
      <c r="AI25" s="15">
        <f>AI17+AI19+AI21+AI23</f>
        <v/>
      </c>
      <c r="AJ25" s="15">
        <f>AJ17+AJ19+AJ21+AJ23</f>
        <v/>
      </c>
      <c r="AK25" s="15">
        <f>AK17+AK19+AK21+AK23</f>
        <v/>
      </c>
      <c r="AL25" s="15">
        <f>AL17+AL19+AL21+AL23</f>
        <v/>
      </c>
      <c r="AM25" s="15">
        <f>AM17+AM19+AM21+AM23</f>
        <v/>
      </c>
      <c r="AN25" s="15">
        <f>AN17+AN19+AN21+AN23</f>
        <v/>
      </c>
      <c r="AO25" s="15">
        <f>AO17+AO19+AO21+AO23</f>
        <v/>
      </c>
      <c r="AP25" s="15">
        <f>AP17+AP19+AP21+AP23</f>
        <v/>
      </c>
      <c r="AQ25" s="15">
        <f>AQ17+AQ19+AQ21+AQ23</f>
        <v/>
      </c>
      <c r="AR25" s="15">
        <f>AR17+AR19+AR21+AR23</f>
        <v/>
      </c>
      <c r="AS25" s="15">
        <f>AS17+AS19+AS21+AS23</f>
        <v/>
      </c>
      <c r="AT25" s="15">
        <f>AT17+AT19+AT21+AT23</f>
        <v/>
      </c>
      <c r="AU25" s="15">
        <f>AU17+AU19+AU21+AU23</f>
        <v/>
      </c>
      <c r="AV25" s="15">
        <f>AV17+AV19+AV21+AV23</f>
        <v/>
      </c>
      <c r="AW25" s="15">
        <f>AW17+AW19+AW21+AW23</f>
        <v/>
      </c>
      <c r="AX25" s="15">
        <f>AX17+AX19+AX21+AX23</f>
        <v/>
      </c>
    </row>
    <row r="26">
      <c r="A26" t="inlineStr">
        <is>
          <t>Total gross reductions — Actual</t>
        </is>
      </c>
      <c r="B26" s="5" t="inlineStr">
        <is>
          <t>$K · auto</t>
        </is>
      </c>
      <c r="C26" s="15">
        <f>C18+C20+C22+C24</f>
        <v/>
      </c>
      <c r="D26" s="15">
        <f>D18+D20+D22+D24</f>
        <v/>
      </c>
      <c r="E26" s="15">
        <f>E18+E20+E22+E24</f>
        <v/>
      </c>
      <c r="F26" s="15">
        <f>F18+F20+F22+F24</f>
        <v/>
      </c>
      <c r="G26" s="15">
        <f>G18+G20+G22+G24</f>
        <v/>
      </c>
      <c r="H26" s="15">
        <f>H18+H20+H22+H24</f>
        <v/>
      </c>
      <c r="I26" s="15">
        <f>I18+I20+I22+I24</f>
        <v/>
      </c>
      <c r="J26" s="15">
        <f>J18+J20+J22+J24</f>
        <v/>
      </c>
      <c r="K26" s="15">
        <f>K18+K20+K22+K24</f>
        <v/>
      </c>
      <c r="L26" s="15">
        <f>L18+L20+L22+L24</f>
        <v/>
      </c>
      <c r="M26" s="15">
        <f>M18+M20+M22+M24</f>
        <v/>
      </c>
      <c r="N26" s="15">
        <f>N18+N20+N22+N24</f>
        <v/>
      </c>
      <c r="O26" s="15">
        <f>O18+O20+O22+O24</f>
        <v/>
      </c>
      <c r="P26" s="15">
        <f>P18+P20+P22+P24</f>
        <v/>
      </c>
      <c r="Q26" s="15">
        <f>Q18+Q20+Q22+Q24</f>
        <v/>
      </c>
      <c r="R26" s="15">
        <f>R18+R20+R22+R24</f>
        <v/>
      </c>
      <c r="S26" s="15">
        <f>S18+S20+S22+S24</f>
        <v/>
      </c>
      <c r="T26" s="15">
        <f>T18+T20+T22+T24</f>
        <v/>
      </c>
      <c r="U26" s="15">
        <f>U18+U20+U22+U24</f>
        <v/>
      </c>
      <c r="V26" s="15">
        <f>V18+V20+V22+V24</f>
        <v/>
      </c>
      <c r="W26" s="15">
        <f>W18+W20+W22+W24</f>
        <v/>
      </c>
      <c r="X26" s="15">
        <f>X18+X20+X22+X24</f>
        <v/>
      </c>
      <c r="Y26" s="15">
        <f>Y18+Y20+Y22+Y24</f>
        <v/>
      </c>
      <c r="Z26" s="15">
        <f>Z18+Z20+Z22+Z24</f>
        <v/>
      </c>
      <c r="AA26" s="15">
        <f>AA18+AA20+AA22+AA24</f>
        <v/>
      </c>
      <c r="AB26" s="15">
        <f>AB18+AB20+AB22+AB24</f>
        <v/>
      </c>
      <c r="AC26" s="15">
        <f>AC18+AC20+AC22+AC24</f>
        <v/>
      </c>
      <c r="AD26" s="15">
        <f>AD18+AD20+AD22+AD24</f>
        <v/>
      </c>
      <c r="AE26" s="15">
        <f>AE18+AE20+AE22+AE24</f>
        <v/>
      </c>
      <c r="AF26" s="15">
        <f>AF18+AF20+AF22+AF24</f>
        <v/>
      </c>
      <c r="AG26" s="15">
        <f>AG18+AG20+AG22+AG24</f>
        <v/>
      </c>
      <c r="AH26" s="15">
        <f>AH18+AH20+AH22+AH24</f>
        <v/>
      </c>
      <c r="AI26" s="15">
        <f>AI18+AI20+AI22+AI24</f>
        <v/>
      </c>
      <c r="AJ26" s="15">
        <f>AJ18+AJ20+AJ22+AJ24</f>
        <v/>
      </c>
      <c r="AK26" s="15">
        <f>AK18+AK20+AK22+AK24</f>
        <v/>
      </c>
      <c r="AL26" s="15">
        <f>AL18+AL20+AL22+AL24</f>
        <v/>
      </c>
      <c r="AM26" s="15">
        <f>AM18+AM20+AM22+AM24</f>
        <v/>
      </c>
      <c r="AN26" s="15">
        <f>AN18+AN20+AN22+AN24</f>
        <v/>
      </c>
      <c r="AO26" s="15">
        <f>AO18+AO20+AO22+AO24</f>
        <v/>
      </c>
      <c r="AP26" s="15">
        <f>AP18+AP20+AP22+AP24</f>
        <v/>
      </c>
      <c r="AQ26" s="15">
        <f>AQ18+AQ20+AQ22+AQ24</f>
        <v/>
      </c>
      <c r="AR26" s="15">
        <f>AR18+AR20+AR22+AR24</f>
        <v/>
      </c>
      <c r="AS26" s="15">
        <f>AS18+AS20+AS22+AS24</f>
        <v/>
      </c>
      <c r="AT26" s="15">
        <f>AT18+AT20+AT22+AT24</f>
        <v/>
      </c>
      <c r="AU26" s="15">
        <f>AU18+AU20+AU22+AU24</f>
        <v/>
      </c>
      <c r="AV26" s="15">
        <f>AV18+AV20+AV22+AV24</f>
        <v/>
      </c>
      <c r="AW26" s="15">
        <f>AW18+AW20+AW22+AW24</f>
        <v/>
      </c>
      <c r="AX26" s="15">
        <f>AX18+AX20+AX22+AX24</f>
        <v/>
      </c>
    </row>
    <row r="27">
      <c r="A27" t="inlineStr">
        <is>
          <t>Gross reductions variance</t>
        </is>
      </c>
      <c r="B27" s="5" t="inlineStr">
        <is>
          <t>$K · auto</t>
        </is>
      </c>
      <c r="C27" s="24">
        <f>C26-C25</f>
        <v/>
      </c>
      <c r="D27" s="24">
        <f>D26-D25</f>
        <v/>
      </c>
      <c r="E27" s="24">
        <f>E26-E25</f>
        <v/>
      </c>
      <c r="F27" s="24">
        <f>F26-F25</f>
        <v/>
      </c>
      <c r="G27" s="24">
        <f>G26-G25</f>
        <v/>
      </c>
      <c r="H27" s="24">
        <f>H26-H25</f>
        <v/>
      </c>
      <c r="I27" s="24">
        <f>I26-I25</f>
        <v/>
      </c>
      <c r="J27" s="24">
        <f>J26-J25</f>
        <v/>
      </c>
      <c r="K27" s="24">
        <f>K26-K25</f>
        <v/>
      </c>
      <c r="L27" s="24">
        <f>L26-L25</f>
        <v/>
      </c>
      <c r="M27" s="24">
        <f>M26-M25</f>
        <v/>
      </c>
      <c r="N27" s="24">
        <f>N26-N25</f>
        <v/>
      </c>
      <c r="O27" s="24">
        <f>O26-O25</f>
        <v/>
      </c>
      <c r="P27" s="24">
        <f>P26-P25</f>
        <v/>
      </c>
      <c r="Q27" s="24">
        <f>Q26-Q25</f>
        <v/>
      </c>
      <c r="R27" s="24">
        <f>R26-R25</f>
        <v/>
      </c>
      <c r="S27" s="24">
        <f>S26-S25</f>
        <v/>
      </c>
      <c r="T27" s="24">
        <f>T26-T25</f>
        <v/>
      </c>
      <c r="U27" s="24">
        <f>U26-U25</f>
        <v/>
      </c>
      <c r="V27" s="24">
        <f>V26-V25</f>
        <v/>
      </c>
      <c r="W27" s="24">
        <f>W26-W25</f>
        <v/>
      </c>
      <c r="X27" s="24">
        <f>X26-X25</f>
        <v/>
      </c>
      <c r="Y27" s="24">
        <f>Y26-Y25</f>
        <v/>
      </c>
      <c r="Z27" s="24">
        <f>Z26-Z25</f>
        <v/>
      </c>
      <c r="AA27" s="24">
        <f>AA26-AA25</f>
        <v/>
      </c>
      <c r="AB27" s="24">
        <f>AB26-AB25</f>
        <v/>
      </c>
      <c r="AC27" s="24">
        <f>AC26-AC25</f>
        <v/>
      </c>
      <c r="AD27" s="24">
        <f>AD26-AD25</f>
        <v/>
      </c>
      <c r="AE27" s="24">
        <f>AE26-AE25</f>
        <v/>
      </c>
      <c r="AF27" s="24">
        <f>AF26-AF25</f>
        <v/>
      </c>
      <c r="AG27" s="24">
        <f>AG26-AG25</f>
        <v/>
      </c>
      <c r="AH27" s="24">
        <f>AH26-AH25</f>
        <v/>
      </c>
      <c r="AI27" s="24">
        <f>AI26-AI25</f>
        <v/>
      </c>
      <c r="AJ27" s="24">
        <f>AJ26-AJ25</f>
        <v/>
      </c>
      <c r="AK27" s="24">
        <f>AK26-AK25</f>
        <v/>
      </c>
      <c r="AL27" s="24">
        <f>AL26-AL25</f>
        <v/>
      </c>
      <c r="AM27" s="24">
        <f>AM26-AM25</f>
        <v/>
      </c>
      <c r="AN27" s="24">
        <f>AN26-AN25</f>
        <v/>
      </c>
      <c r="AO27" s="24">
        <f>AO26-AO25</f>
        <v/>
      </c>
      <c r="AP27" s="24">
        <f>AP26-AP25</f>
        <v/>
      </c>
      <c r="AQ27" s="24">
        <f>AQ26-AQ25</f>
        <v/>
      </c>
      <c r="AR27" s="24">
        <f>AR26-AR25</f>
        <v/>
      </c>
      <c r="AS27" s="24">
        <f>AS26-AS25</f>
        <v/>
      </c>
      <c r="AT27" s="24">
        <f>AT26-AT25</f>
        <v/>
      </c>
      <c r="AU27" s="24">
        <f>AU26-AU25</f>
        <v/>
      </c>
      <c r="AV27" s="24">
        <f>AV26-AV25</f>
        <v/>
      </c>
      <c r="AW27" s="24">
        <f>AW26-AW25</f>
        <v/>
      </c>
      <c r="AX27" s="24">
        <f>AX26-AX25</f>
        <v/>
      </c>
    </row>
    <row r="28">
      <c r="A28" t="inlineStr">
        <is>
          <t>Headcount reduced in month — Actual</t>
        </is>
      </c>
      <c r="B28" s="5" t="inlineStr">
        <is>
          <t>heads · auto</t>
        </is>
      </c>
      <c r="C28" s="19">
        <f>SUM('Org_1:Org_8'!C28)</f>
        <v/>
      </c>
      <c r="D28" s="19">
        <f>SUM('Org_1:Org_8'!D28)</f>
        <v/>
      </c>
      <c r="E28" s="19">
        <f>SUM('Org_1:Org_8'!E28)</f>
        <v/>
      </c>
      <c r="F28" s="19">
        <f>SUM('Org_1:Org_8'!F28)</f>
        <v/>
      </c>
      <c r="G28" s="19">
        <f>SUM('Org_1:Org_8'!G28)</f>
        <v/>
      </c>
      <c r="H28" s="19">
        <f>SUM('Org_1:Org_8'!H28)</f>
        <v/>
      </c>
      <c r="I28" s="19">
        <f>SUM('Org_1:Org_8'!I28)</f>
        <v/>
      </c>
      <c r="J28" s="19">
        <f>SUM('Org_1:Org_8'!J28)</f>
        <v/>
      </c>
      <c r="K28" s="19">
        <f>SUM('Org_1:Org_8'!K28)</f>
        <v/>
      </c>
      <c r="L28" s="19">
        <f>SUM('Org_1:Org_8'!L28)</f>
        <v/>
      </c>
      <c r="M28" s="19">
        <f>SUM('Org_1:Org_8'!M28)</f>
        <v/>
      </c>
      <c r="N28" s="19">
        <f>SUM('Org_1:Org_8'!N28)</f>
        <v/>
      </c>
      <c r="O28" s="19">
        <f>SUM('Org_1:Org_8'!O28)</f>
        <v/>
      </c>
      <c r="P28" s="19">
        <f>SUM('Org_1:Org_8'!P28)</f>
        <v/>
      </c>
      <c r="Q28" s="19">
        <f>SUM('Org_1:Org_8'!Q28)</f>
        <v/>
      </c>
      <c r="R28" s="19">
        <f>SUM('Org_1:Org_8'!R28)</f>
        <v/>
      </c>
      <c r="S28" s="19">
        <f>SUM('Org_1:Org_8'!S28)</f>
        <v/>
      </c>
      <c r="T28" s="19">
        <f>SUM('Org_1:Org_8'!T28)</f>
        <v/>
      </c>
      <c r="U28" s="19">
        <f>SUM('Org_1:Org_8'!U28)</f>
        <v/>
      </c>
      <c r="V28" s="19">
        <f>SUM('Org_1:Org_8'!V28)</f>
        <v/>
      </c>
      <c r="W28" s="19">
        <f>SUM('Org_1:Org_8'!W28)</f>
        <v/>
      </c>
      <c r="X28" s="19">
        <f>SUM('Org_1:Org_8'!X28)</f>
        <v/>
      </c>
      <c r="Y28" s="19">
        <f>SUM('Org_1:Org_8'!Y28)</f>
        <v/>
      </c>
      <c r="Z28" s="19">
        <f>SUM('Org_1:Org_8'!Z28)</f>
        <v/>
      </c>
      <c r="AA28" s="19">
        <f>SUM('Org_1:Org_8'!AA28)</f>
        <v/>
      </c>
      <c r="AB28" s="19">
        <f>SUM('Org_1:Org_8'!AB28)</f>
        <v/>
      </c>
      <c r="AC28" s="19">
        <f>SUM('Org_1:Org_8'!AC28)</f>
        <v/>
      </c>
      <c r="AD28" s="19">
        <f>SUM('Org_1:Org_8'!AD28)</f>
        <v/>
      </c>
      <c r="AE28" s="19">
        <f>SUM('Org_1:Org_8'!AE28)</f>
        <v/>
      </c>
      <c r="AF28" s="19">
        <f>SUM('Org_1:Org_8'!AF28)</f>
        <v/>
      </c>
      <c r="AG28" s="19">
        <f>SUM('Org_1:Org_8'!AG28)</f>
        <v/>
      </c>
      <c r="AH28" s="19">
        <f>SUM('Org_1:Org_8'!AH28)</f>
        <v/>
      </c>
      <c r="AI28" s="19">
        <f>SUM('Org_1:Org_8'!AI28)</f>
        <v/>
      </c>
      <c r="AJ28" s="19">
        <f>SUM('Org_1:Org_8'!AJ28)</f>
        <v/>
      </c>
      <c r="AK28" s="19">
        <f>SUM('Org_1:Org_8'!AK28)</f>
        <v/>
      </c>
      <c r="AL28" s="19">
        <f>SUM('Org_1:Org_8'!AL28)</f>
        <v/>
      </c>
      <c r="AM28" s="19">
        <f>SUM('Org_1:Org_8'!AM28)</f>
        <v/>
      </c>
      <c r="AN28" s="19">
        <f>SUM('Org_1:Org_8'!AN28)</f>
        <v/>
      </c>
      <c r="AO28" s="19">
        <f>SUM('Org_1:Org_8'!AO28)</f>
        <v/>
      </c>
      <c r="AP28" s="19">
        <f>SUM('Org_1:Org_8'!AP28)</f>
        <v/>
      </c>
      <c r="AQ28" s="19">
        <f>SUM('Org_1:Org_8'!AQ28)</f>
        <v/>
      </c>
      <c r="AR28" s="19">
        <f>SUM('Org_1:Org_8'!AR28)</f>
        <v/>
      </c>
      <c r="AS28" s="19">
        <f>SUM('Org_1:Org_8'!AS28)</f>
        <v/>
      </c>
      <c r="AT28" s="19">
        <f>SUM('Org_1:Org_8'!AT28)</f>
        <v/>
      </c>
      <c r="AU28" s="19">
        <f>SUM('Org_1:Org_8'!AU28)</f>
        <v/>
      </c>
      <c r="AV28" s="19">
        <f>SUM('Org_1:Org_8'!AV28)</f>
        <v/>
      </c>
      <c r="AW28" s="19">
        <f>SUM('Org_1:Org_8'!AW28)</f>
        <v/>
      </c>
      <c r="AX28" s="19">
        <f>SUM('Org_1:Org_8'!AX28)</f>
        <v/>
      </c>
    </row>
    <row r="29">
      <c r="A29" t="inlineStr">
        <is>
          <t>Exit run-rate of reductions (annualized)</t>
        </is>
      </c>
      <c r="B29" s="5" t="inlineStr">
        <is>
          <t>$K · auto</t>
        </is>
      </c>
      <c r="C29" s="24">
        <f>SUM('Org_1:Org_8'!C29)</f>
        <v/>
      </c>
      <c r="D29" s="24">
        <f>SUM('Org_1:Org_8'!D29)</f>
        <v/>
      </c>
      <c r="E29" s="24">
        <f>SUM('Org_1:Org_8'!E29)</f>
        <v/>
      </c>
      <c r="F29" s="24">
        <f>SUM('Org_1:Org_8'!F29)</f>
        <v/>
      </c>
      <c r="G29" s="24">
        <f>SUM('Org_1:Org_8'!G29)</f>
        <v/>
      </c>
      <c r="H29" s="24">
        <f>SUM('Org_1:Org_8'!H29)</f>
        <v/>
      </c>
      <c r="I29" s="24">
        <f>SUM('Org_1:Org_8'!I29)</f>
        <v/>
      </c>
      <c r="J29" s="24">
        <f>SUM('Org_1:Org_8'!J29)</f>
        <v/>
      </c>
      <c r="K29" s="24">
        <f>SUM('Org_1:Org_8'!K29)</f>
        <v/>
      </c>
      <c r="L29" s="24">
        <f>SUM('Org_1:Org_8'!L29)</f>
        <v/>
      </c>
      <c r="M29" s="24">
        <f>SUM('Org_1:Org_8'!M29)</f>
        <v/>
      </c>
      <c r="N29" s="24">
        <f>SUM('Org_1:Org_8'!N29)</f>
        <v/>
      </c>
      <c r="O29" s="24">
        <f>SUM('Org_1:Org_8'!O29)</f>
        <v/>
      </c>
      <c r="P29" s="24">
        <f>SUM('Org_1:Org_8'!P29)</f>
        <v/>
      </c>
      <c r="Q29" s="24">
        <f>SUM('Org_1:Org_8'!Q29)</f>
        <v/>
      </c>
      <c r="R29" s="24">
        <f>SUM('Org_1:Org_8'!R29)</f>
        <v/>
      </c>
      <c r="S29" s="24">
        <f>SUM('Org_1:Org_8'!S29)</f>
        <v/>
      </c>
      <c r="T29" s="24">
        <f>SUM('Org_1:Org_8'!T29)</f>
        <v/>
      </c>
      <c r="U29" s="24">
        <f>SUM('Org_1:Org_8'!U29)</f>
        <v/>
      </c>
      <c r="V29" s="24">
        <f>SUM('Org_1:Org_8'!V29)</f>
        <v/>
      </c>
      <c r="W29" s="24">
        <f>SUM('Org_1:Org_8'!W29)</f>
        <v/>
      </c>
      <c r="X29" s="24">
        <f>SUM('Org_1:Org_8'!X29)</f>
        <v/>
      </c>
      <c r="Y29" s="24">
        <f>SUM('Org_1:Org_8'!Y29)</f>
        <v/>
      </c>
      <c r="Z29" s="24">
        <f>SUM('Org_1:Org_8'!Z29)</f>
        <v/>
      </c>
      <c r="AA29" s="24">
        <f>SUM('Org_1:Org_8'!AA29)</f>
        <v/>
      </c>
      <c r="AB29" s="24">
        <f>SUM('Org_1:Org_8'!AB29)</f>
        <v/>
      </c>
      <c r="AC29" s="24">
        <f>SUM('Org_1:Org_8'!AC29)</f>
        <v/>
      </c>
      <c r="AD29" s="24">
        <f>SUM('Org_1:Org_8'!AD29)</f>
        <v/>
      </c>
      <c r="AE29" s="24">
        <f>SUM('Org_1:Org_8'!AE29)</f>
        <v/>
      </c>
      <c r="AF29" s="24">
        <f>SUM('Org_1:Org_8'!AF29)</f>
        <v/>
      </c>
      <c r="AG29" s="24">
        <f>SUM('Org_1:Org_8'!AG29)</f>
        <v/>
      </c>
      <c r="AH29" s="24">
        <f>SUM('Org_1:Org_8'!AH29)</f>
        <v/>
      </c>
      <c r="AI29" s="24">
        <f>SUM('Org_1:Org_8'!AI29)</f>
        <v/>
      </c>
      <c r="AJ29" s="24">
        <f>SUM('Org_1:Org_8'!AJ29)</f>
        <v/>
      </c>
      <c r="AK29" s="24">
        <f>SUM('Org_1:Org_8'!AK29)</f>
        <v/>
      </c>
      <c r="AL29" s="24">
        <f>SUM('Org_1:Org_8'!AL29)</f>
        <v/>
      </c>
      <c r="AM29" s="24">
        <f>SUM('Org_1:Org_8'!AM29)</f>
        <v/>
      </c>
      <c r="AN29" s="24">
        <f>SUM('Org_1:Org_8'!AN29)</f>
        <v/>
      </c>
      <c r="AO29" s="24">
        <f>SUM('Org_1:Org_8'!AO29)</f>
        <v/>
      </c>
      <c r="AP29" s="24">
        <f>SUM('Org_1:Org_8'!AP29)</f>
        <v/>
      </c>
      <c r="AQ29" s="24">
        <f>SUM('Org_1:Org_8'!AQ29)</f>
        <v/>
      </c>
      <c r="AR29" s="24">
        <f>SUM('Org_1:Org_8'!AR29)</f>
        <v/>
      </c>
      <c r="AS29" s="24">
        <f>SUM('Org_1:Org_8'!AS29)</f>
        <v/>
      </c>
      <c r="AT29" s="24">
        <f>SUM('Org_1:Org_8'!AT29)</f>
        <v/>
      </c>
      <c r="AU29" s="24">
        <f>SUM('Org_1:Org_8'!AU29)</f>
        <v/>
      </c>
      <c r="AV29" s="24">
        <f>SUM('Org_1:Org_8'!AV29)</f>
        <v/>
      </c>
      <c r="AW29" s="24">
        <f>SUM('Org_1:Org_8'!AW29)</f>
        <v/>
      </c>
      <c r="AX29" s="24">
        <f>SUM('Org_1:Org_8'!AX29)</f>
        <v/>
      </c>
    </row>
    <row r="30">
      <c r="A30" s="11" t="inlineStr">
        <is>
          <t>C.  INDIA COST ADDS</t>
        </is>
      </c>
      <c r="B30" s="16" t="inlineStr">
        <is>
          <t xml:space="preserve"> · auto</t>
        </is>
      </c>
      <c r="C30" s="12" t="n"/>
      <c r="D30" s="12" t="n"/>
      <c r="E30" s="12" t="n"/>
      <c r="F30" s="12" t="n"/>
      <c r="G30" s="12" t="n"/>
      <c r="H30" s="12" t="n"/>
      <c r="I30" s="12" t="n"/>
      <c r="J30" s="12" t="n"/>
      <c r="K30" s="12" t="n"/>
      <c r="L30" s="12" t="n"/>
      <c r="M30" s="12" t="n"/>
      <c r="N30" s="12" t="n"/>
      <c r="O30" s="12" t="n"/>
      <c r="P30" s="12" t="n"/>
      <c r="Q30" s="12" t="n"/>
      <c r="R30" s="12" t="n"/>
      <c r="S30" s="12" t="n"/>
      <c r="T30" s="12" t="n"/>
      <c r="U30" s="12" t="n"/>
      <c r="V30" s="12" t="n"/>
      <c r="W30" s="12" t="n"/>
      <c r="X30" s="12" t="n"/>
      <c r="Y30" s="12" t="n"/>
      <c r="Z30" s="12" t="n"/>
      <c r="AA30" s="12" t="n"/>
      <c r="AB30" s="12" t="n"/>
      <c r="AC30" s="12" t="n"/>
      <c r="AD30" s="12" t="n"/>
      <c r="AE30" s="12" t="n"/>
      <c r="AF30" s="12" t="n"/>
      <c r="AG30" s="12" t="n"/>
      <c r="AH30" s="12" t="n"/>
      <c r="AI30" s="12" t="n"/>
      <c r="AJ30" s="12" t="n"/>
      <c r="AK30" s="12" t="n"/>
      <c r="AL30" s="12" t="n"/>
      <c r="AM30" s="12" t="n"/>
      <c r="AN30" s="12" t="n"/>
      <c r="AO30" s="12" t="n"/>
      <c r="AP30" s="12" t="n"/>
      <c r="AQ30" s="12" t="n"/>
      <c r="AR30" s="12" t="n"/>
      <c r="AS30" s="12" t="n"/>
      <c r="AT30" s="12" t="n"/>
      <c r="AU30" s="12" t="n"/>
      <c r="AV30" s="12" t="n"/>
      <c r="AW30" s="12" t="n"/>
      <c r="AX30" s="12" t="n"/>
    </row>
    <row r="31">
      <c r="A31" t="inlineStr">
        <is>
          <t>India loaded cost adds — Target</t>
        </is>
      </c>
      <c r="B31" s="5" t="inlineStr">
        <is>
          <t>$K · auto</t>
        </is>
      </c>
      <c r="C31" s="24">
        <f>SUM('Org_1:Org_8'!C31)</f>
        <v/>
      </c>
      <c r="D31" s="24">
        <f>SUM('Org_1:Org_8'!D31)</f>
        <v/>
      </c>
      <c r="E31" s="24">
        <f>SUM('Org_1:Org_8'!E31)</f>
        <v/>
      </c>
      <c r="F31" s="24">
        <f>SUM('Org_1:Org_8'!F31)</f>
        <v/>
      </c>
      <c r="G31" s="24">
        <f>SUM('Org_1:Org_8'!G31)</f>
        <v/>
      </c>
      <c r="H31" s="24">
        <f>SUM('Org_1:Org_8'!H31)</f>
        <v/>
      </c>
      <c r="I31" s="24">
        <f>SUM('Org_1:Org_8'!I31)</f>
        <v/>
      </c>
      <c r="J31" s="24">
        <f>SUM('Org_1:Org_8'!J31)</f>
        <v/>
      </c>
      <c r="K31" s="24">
        <f>SUM('Org_1:Org_8'!K31)</f>
        <v/>
      </c>
      <c r="L31" s="24">
        <f>SUM('Org_1:Org_8'!L31)</f>
        <v/>
      </c>
      <c r="M31" s="24">
        <f>SUM('Org_1:Org_8'!M31)</f>
        <v/>
      </c>
      <c r="N31" s="24">
        <f>SUM('Org_1:Org_8'!N31)</f>
        <v/>
      </c>
      <c r="O31" s="24">
        <f>SUM('Org_1:Org_8'!O31)</f>
        <v/>
      </c>
      <c r="P31" s="24">
        <f>SUM('Org_1:Org_8'!P31)</f>
        <v/>
      </c>
      <c r="Q31" s="24">
        <f>SUM('Org_1:Org_8'!Q31)</f>
        <v/>
      </c>
      <c r="R31" s="24">
        <f>SUM('Org_1:Org_8'!R31)</f>
        <v/>
      </c>
      <c r="S31" s="24">
        <f>SUM('Org_1:Org_8'!S31)</f>
        <v/>
      </c>
      <c r="T31" s="24">
        <f>SUM('Org_1:Org_8'!T31)</f>
        <v/>
      </c>
      <c r="U31" s="24">
        <f>SUM('Org_1:Org_8'!U31)</f>
        <v/>
      </c>
      <c r="V31" s="24">
        <f>SUM('Org_1:Org_8'!V31)</f>
        <v/>
      </c>
      <c r="W31" s="24">
        <f>SUM('Org_1:Org_8'!W31)</f>
        <v/>
      </c>
      <c r="X31" s="24">
        <f>SUM('Org_1:Org_8'!X31)</f>
        <v/>
      </c>
      <c r="Y31" s="24">
        <f>SUM('Org_1:Org_8'!Y31)</f>
        <v/>
      </c>
      <c r="Z31" s="24">
        <f>SUM('Org_1:Org_8'!Z31)</f>
        <v/>
      </c>
      <c r="AA31" s="24">
        <f>SUM('Org_1:Org_8'!AA31)</f>
        <v/>
      </c>
      <c r="AB31" s="24">
        <f>SUM('Org_1:Org_8'!AB31)</f>
        <v/>
      </c>
      <c r="AC31" s="24">
        <f>SUM('Org_1:Org_8'!AC31)</f>
        <v/>
      </c>
      <c r="AD31" s="24">
        <f>SUM('Org_1:Org_8'!AD31)</f>
        <v/>
      </c>
      <c r="AE31" s="24">
        <f>SUM('Org_1:Org_8'!AE31)</f>
        <v/>
      </c>
      <c r="AF31" s="24">
        <f>SUM('Org_1:Org_8'!AF31)</f>
        <v/>
      </c>
      <c r="AG31" s="24">
        <f>SUM('Org_1:Org_8'!AG31)</f>
        <v/>
      </c>
      <c r="AH31" s="24">
        <f>SUM('Org_1:Org_8'!AH31)</f>
        <v/>
      </c>
      <c r="AI31" s="24">
        <f>SUM('Org_1:Org_8'!AI31)</f>
        <v/>
      </c>
      <c r="AJ31" s="24">
        <f>SUM('Org_1:Org_8'!AJ31)</f>
        <v/>
      </c>
      <c r="AK31" s="24">
        <f>SUM('Org_1:Org_8'!AK31)</f>
        <v/>
      </c>
      <c r="AL31" s="24">
        <f>SUM('Org_1:Org_8'!AL31)</f>
        <v/>
      </c>
      <c r="AM31" s="24">
        <f>SUM('Org_1:Org_8'!AM31)</f>
        <v/>
      </c>
      <c r="AN31" s="24">
        <f>SUM('Org_1:Org_8'!AN31)</f>
        <v/>
      </c>
      <c r="AO31" s="24">
        <f>SUM('Org_1:Org_8'!AO31)</f>
        <v/>
      </c>
      <c r="AP31" s="24">
        <f>SUM('Org_1:Org_8'!AP31)</f>
        <v/>
      </c>
      <c r="AQ31" s="24">
        <f>SUM('Org_1:Org_8'!AQ31)</f>
        <v/>
      </c>
      <c r="AR31" s="24">
        <f>SUM('Org_1:Org_8'!AR31)</f>
        <v/>
      </c>
      <c r="AS31" s="24">
        <f>SUM('Org_1:Org_8'!AS31)</f>
        <v/>
      </c>
      <c r="AT31" s="24">
        <f>SUM('Org_1:Org_8'!AT31)</f>
        <v/>
      </c>
      <c r="AU31" s="24">
        <f>SUM('Org_1:Org_8'!AU31)</f>
        <v/>
      </c>
      <c r="AV31" s="24">
        <f>SUM('Org_1:Org_8'!AV31)</f>
        <v/>
      </c>
      <c r="AW31" s="24">
        <f>SUM('Org_1:Org_8'!AW31)</f>
        <v/>
      </c>
      <c r="AX31" s="24">
        <f>SUM('Org_1:Org_8'!AX31)</f>
        <v/>
      </c>
    </row>
    <row r="32">
      <c r="A32" t="inlineStr">
        <is>
          <t>India loaded cost adds — Actual</t>
        </is>
      </c>
      <c r="B32" s="5" t="inlineStr">
        <is>
          <t>$K · auto</t>
        </is>
      </c>
      <c r="C32" s="24">
        <f>SUM('Org_1:Org_8'!C32)</f>
        <v/>
      </c>
      <c r="D32" s="24">
        <f>SUM('Org_1:Org_8'!D32)</f>
        <v/>
      </c>
      <c r="E32" s="24">
        <f>SUM('Org_1:Org_8'!E32)</f>
        <v/>
      </c>
      <c r="F32" s="24">
        <f>SUM('Org_1:Org_8'!F32)</f>
        <v/>
      </c>
      <c r="G32" s="24">
        <f>SUM('Org_1:Org_8'!G32)</f>
        <v/>
      </c>
      <c r="H32" s="24">
        <f>SUM('Org_1:Org_8'!H32)</f>
        <v/>
      </c>
      <c r="I32" s="24">
        <f>SUM('Org_1:Org_8'!I32)</f>
        <v/>
      </c>
      <c r="J32" s="24">
        <f>SUM('Org_1:Org_8'!J32)</f>
        <v/>
      </c>
      <c r="K32" s="24">
        <f>SUM('Org_1:Org_8'!K32)</f>
        <v/>
      </c>
      <c r="L32" s="24">
        <f>SUM('Org_1:Org_8'!L32)</f>
        <v/>
      </c>
      <c r="M32" s="24">
        <f>SUM('Org_1:Org_8'!M32)</f>
        <v/>
      </c>
      <c r="N32" s="24">
        <f>SUM('Org_1:Org_8'!N32)</f>
        <v/>
      </c>
      <c r="O32" s="24">
        <f>SUM('Org_1:Org_8'!O32)</f>
        <v/>
      </c>
      <c r="P32" s="24">
        <f>SUM('Org_1:Org_8'!P32)</f>
        <v/>
      </c>
      <c r="Q32" s="24">
        <f>SUM('Org_1:Org_8'!Q32)</f>
        <v/>
      </c>
      <c r="R32" s="24">
        <f>SUM('Org_1:Org_8'!R32)</f>
        <v/>
      </c>
      <c r="S32" s="24">
        <f>SUM('Org_1:Org_8'!S32)</f>
        <v/>
      </c>
      <c r="T32" s="24">
        <f>SUM('Org_1:Org_8'!T32)</f>
        <v/>
      </c>
      <c r="U32" s="24">
        <f>SUM('Org_1:Org_8'!U32)</f>
        <v/>
      </c>
      <c r="V32" s="24">
        <f>SUM('Org_1:Org_8'!V32)</f>
        <v/>
      </c>
      <c r="W32" s="24">
        <f>SUM('Org_1:Org_8'!W32)</f>
        <v/>
      </c>
      <c r="X32" s="24">
        <f>SUM('Org_1:Org_8'!X32)</f>
        <v/>
      </c>
      <c r="Y32" s="24">
        <f>SUM('Org_1:Org_8'!Y32)</f>
        <v/>
      </c>
      <c r="Z32" s="24">
        <f>SUM('Org_1:Org_8'!Z32)</f>
        <v/>
      </c>
      <c r="AA32" s="24">
        <f>SUM('Org_1:Org_8'!AA32)</f>
        <v/>
      </c>
      <c r="AB32" s="24">
        <f>SUM('Org_1:Org_8'!AB32)</f>
        <v/>
      </c>
      <c r="AC32" s="24">
        <f>SUM('Org_1:Org_8'!AC32)</f>
        <v/>
      </c>
      <c r="AD32" s="24">
        <f>SUM('Org_1:Org_8'!AD32)</f>
        <v/>
      </c>
      <c r="AE32" s="24">
        <f>SUM('Org_1:Org_8'!AE32)</f>
        <v/>
      </c>
      <c r="AF32" s="24">
        <f>SUM('Org_1:Org_8'!AF32)</f>
        <v/>
      </c>
      <c r="AG32" s="24">
        <f>SUM('Org_1:Org_8'!AG32)</f>
        <v/>
      </c>
      <c r="AH32" s="24">
        <f>SUM('Org_1:Org_8'!AH32)</f>
        <v/>
      </c>
      <c r="AI32" s="24">
        <f>SUM('Org_1:Org_8'!AI32)</f>
        <v/>
      </c>
      <c r="AJ32" s="24">
        <f>SUM('Org_1:Org_8'!AJ32)</f>
        <v/>
      </c>
      <c r="AK32" s="24">
        <f>SUM('Org_1:Org_8'!AK32)</f>
        <v/>
      </c>
      <c r="AL32" s="24">
        <f>SUM('Org_1:Org_8'!AL32)</f>
        <v/>
      </c>
      <c r="AM32" s="24">
        <f>SUM('Org_1:Org_8'!AM32)</f>
        <v/>
      </c>
      <c r="AN32" s="24">
        <f>SUM('Org_1:Org_8'!AN32)</f>
        <v/>
      </c>
      <c r="AO32" s="24">
        <f>SUM('Org_1:Org_8'!AO32)</f>
        <v/>
      </c>
      <c r="AP32" s="24">
        <f>SUM('Org_1:Org_8'!AP32)</f>
        <v/>
      </c>
      <c r="AQ32" s="24">
        <f>SUM('Org_1:Org_8'!AQ32)</f>
        <v/>
      </c>
      <c r="AR32" s="24">
        <f>SUM('Org_1:Org_8'!AR32)</f>
        <v/>
      </c>
      <c r="AS32" s="24">
        <f>SUM('Org_1:Org_8'!AS32)</f>
        <v/>
      </c>
      <c r="AT32" s="24">
        <f>SUM('Org_1:Org_8'!AT32)</f>
        <v/>
      </c>
      <c r="AU32" s="24">
        <f>SUM('Org_1:Org_8'!AU32)</f>
        <v/>
      </c>
      <c r="AV32" s="24">
        <f>SUM('Org_1:Org_8'!AV32)</f>
        <v/>
      </c>
      <c r="AW32" s="24">
        <f>SUM('Org_1:Org_8'!AW32)</f>
        <v/>
      </c>
      <c r="AX32" s="24">
        <f>SUM('Org_1:Org_8'!AX32)</f>
        <v/>
      </c>
    </row>
    <row r="33">
      <c r="A33" t="inlineStr">
        <is>
          <t>One-time transition costs (memo — never net)</t>
        </is>
      </c>
      <c r="B33" s="5" t="inlineStr">
        <is>
          <t>$K · auto</t>
        </is>
      </c>
      <c r="C33" s="24">
        <f>SUM('Org_1:Org_8'!C33)</f>
        <v/>
      </c>
      <c r="D33" s="24">
        <f>SUM('Org_1:Org_8'!D33)</f>
        <v/>
      </c>
      <c r="E33" s="24">
        <f>SUM('Org_1:Org_8'!E33)</f>
        <v/>
      </c>
      <c r="F33" s="24">
        <f>SUM('Org_1:Org_8'!F33)</f>
        <v/>
      </c>
      <c r="G33" s="24">
        <f>SUM('Org_1:Org_8'!G33)</f>
        <v/>
      </c>
      <c r="H33" s="24">
        <f>SUM('Org_1:Org_8'!H33)</f>
        <v/>
      </c>
      <c r="I33" s="24">
        <f>SUM('Org_1:Org_8'!I33)</f>
        <v/>
      </c>
      <c r="J33" s="24">
        <f>SUM('Org_1:Org_8'!J33)</f>
        <v/>
      </c>
      <c r="K33" s="24">
        <f>SUM('Org_1:Org_8'!K33)</f>
        <v/>
      </c>
      <c r="L33" s="24">
        <f>SUM('Org_1:Org_8'!L33)</f>
        <v/>
      </c>
      <c r="M33" s="24">
        <f>SUM('Org_1:Org_8'!M33)</f>
        <v/>
      </c>
      <c r="N33" s="24">
        <f>SUM('Org_1:Org_8'!N33)</f>
        <v/>
      </c>
      <c r="O33" s="24">
        <f>SUM('Org_1:Org_8'!O33)</f>
        <v/>
      </c>
      <c r="P33" s="24">
        <f>SUM('Org_1:Org_8'!P33)</f>
        <v/>
      </c>
      <c r="Q33" s="24">
        <f>SUM('Org_1:Org_8'!Q33)</f>
        <v/>
      </c>
      <c r="R33" s="24">
        <f>SUM('Org_1:Org_8'!R33)</f>
        <v/>
      </c>
      <c r="S33" s="24">
        <f>SUM('Org_1:Org_8'!S33)</f>
        <v/>
      </c>
      <c r="T33" s="24">
        <f>SUM('Org_1:Org_8'!T33)</f>
        <v/>
      </c>
      <c r="U33" s="24">
        <f>SUM('Org_1:Org_8'!U33)</f>
        <v/>
      </c>
      <c r="V33" s="24">
        <f>SUM('Org_1:Org_8'!V33)</f>
        <v/>
      </c>
      <c r="W33" s="24">
        <f>SUM('Org_1:Org_8'!W33)</f>
        <v/>
      </c>
      <c r="X33" s="24">
        <f>SUM('Org_1:Org_8'!X33)</f>
        <v/>
      </c>
      <c r="Y33" s="24">
        <f>SUM('Org_1:Org_8'!Y33)</f>
        <v/>
      </c>
      <c r="Z33" s="24">
        <f>SUM('Org_1:Org_8'!Z33)</f>
        <v/>
      </c>
      <c r="AA33" s="24">
        <f>SUM('Org_1:Org_8'!AA33)</f>
        <v/>
      </c>
      <c r="AB33" s="24">
        <f>SUM('Org_1:Org_8'!AB33)</f>
        <v/>
      </c>
      <c r="AC33" s="24">
        <f>SUM('Org_1:Org_8'!AC33)</f>
        <v/>
      </c>
      <c r="AD33" s="24">
        <f>SUM('Org_1:Org_8'!AD33)</f>
        <v/>
      </c>
      <c r="AE33" s="24">
        <f>SUM('Org_1:Org_8'!AE33)</f>
        <v/>
      </c>
      <c r="AF33" s="24">
        <f>SUM('Org_1:Org_8'!AF33)</f>
        <v/>
      </c>
      <c r="AG33" s="24">
        <f>SUM('Org_1:Org_8'!AG33)</f>
        <v/>
      </c>
      <c r="AH33" s="24">
        <f>SUM('Org_1:Org_8'!AH33)</f>
        <v/>
      </c>
      <c r="AI33" s="24">
        <f>SUM('Org_1:Org_8'!AI33)</f>
        <v/>
      </c>
      <c r="AJ33" s="24">
        <f>SUM('Org_1:Org_8'!AJ33)</f>
        <v/>
      </c>
      <c r="AK33" s="24">
        <f>SUM('Org_1:Org_8'!AK33)</f>
        <v/>
      </c>
      <c r="AL33" s="24">
        <f>SUM('Org_1:Org_8'!AL33)</f>
        <v/>
      </c>
      <c r="AM33" s="24">
        <f>SUM('Org_1:Org_8'!AM33)</f>
        <v/>
      </c>
      <c r="AN33" s="24">
        <f>SUM('Org_1:Org_8'!AN33)</f>
        <v/>
      </c>
      <c r="AO33" s="24">
        <f>SUM('Org_1:Org_8'!AO33)</f>
        <v/>
      </c>
      <c r="AP33" s="24">
        <f>SUM('Org_1:Org_8'!AP33)</f>
        <v/>
      </c>
      <c r="AQ33" s="24">
        <f>SUM('Org_1:Org_8'!AQ33)</f>
        <v/>
      </c>
      <c r="AR33" s="24">
        <f>SUM('Org_1:Org_8'!AR33)</f>
        <v/>
      </c>
      <c r="AS33" s="24">
        <f>SUM('Org_1:Org_8'!AS33)</f>
        <v/>
      </c>
      <c r="AT33" s="24">
        <f>SUM('Org_1:Org_8'!AT33)</f>
        <v/>
      </c>
      <c r="AU33" s="24">
        <f>SUM('Org_1:Org_8'!AU33)</f>
        <v/>
      </c>
      <c r="AV33" s="24">
        <f>SUM('Org_1:Org_8'!AV33)</f>
        <v/>
      </c>
      <c r="AW33" s="24">
        <f>SUM('Org_1:Org_8'!AW33)</f>
        <v/>
      </c>
      <c r="AX33" s="24">
        <f>SUM('Org_1:Org_8'!AX33)</f>
        <v/>
      </c>
    </row>
    <row r="34">
      <c r="A34" s="11" t="inlineStr">
        <is>
          <t>D.  NET LABOR ARBITRAGE  (B − C)</t>
        </is>
      </c>
      <c r="B34" s="16" t="inlineStr">
        <is>
          <t xml:space="preserve"> · auto</t>
        </is>
      </c>
      <c r="C34" s="12" t="n"/>
      <c r="D34" s="12" t="n"/>
      <c r="E34" s="12" t="n"/>
      <c r="F34" s="12" t="n"/>
      <c r="G34" s="12" t="n"/>
      <c r="H34" s="12" t="n"/>
      <c r="I34" s="12" t="n"/>
      <c r="J34" s="12" t="n"/>
      <c r="K34" s="12" t="n"/>
      <c r="L34" s="12" t="n"/>
      <c r="M34" s="12" t="n"/>
      <c r="N34" s="12" t="n"/>
      <c r="O34" s="12" t="n"/>
      <c r="P34" s="12" t="n"/>
      <c r="Q34" s="12" t="n"/>
      <c r="R34" s="12" t="n"/>
      <c r="S34" s="12" t="n"/>
      <c r="T34" s="12" t="n"/>
      <c r="U34" s="12" t="n"/>
      <c r="V34" s="12" t="n"/>
      <c r="W34" s="12" t="n"/>
      <c r="X34" s="12" t="n"/>
      <c r="Y34" s="12" t="n"/>
      <c r="Z34" s="12" t="n"/>
      <c r="AA34" s="12" t="n"/>
      <c r="AB34" s="12" t="n"/>
      <c r="AC34" s="12" t="n"/>
      <c r="AD34" s="12" t="n"/>
      <c r="AE34" s="12" t="n"/>
      <c r="AF34" s="12" t="n"/>
      <c r="AG34" s="12" t="n"/>
      <c r="AH34" s="12" t="n"/>
      <c r="AI34" s="12" t="n"/>
      <c r="AJ34" s="12" t="n"/>
      <c r="AK34" s="12" t="n"/>
      <c r="AL34" s="12" t="n"/>
      <c r="AM34" s="12" t="n"/>
      <c r="AN34" s="12" t="n"/>
      <c r="AO34" s="12" t="n"/>
      <c r="AP34" s="12" t="n"/>
      <c r="AQ34" s="12" t="n"/>
      <c r="AR34" s="12" t="n"/>
      <c r="AS34" s="12" t="n"/>
      <c r="AT34" s="12" t="n"/>
      <c r="AU34" s="12" t="n"/>
      <c r="AV34" s="12" t="n"/>
      <c r="AW34" s="12" t="n"/>
      <c r="AX34" s="12" t="n"/>
    </row>
    <row r="35">
      <c r="A35" t="inlineStr">
        <is>
          <t>Net labor arbitrage — Target</t>
        </is>
      </c>
      <c r="B35" s="5" t="inlineStr">
        <is>
          <t>$K · auto</t>
        </is>
      </c>
      <c r="C35" s="24">
        <f>SUM('Org_1:Org_8'!C35)</f>
        <v/>
      </c>
      <c r="D35" s="24">
        <f>SUM('Org_1:Org_8'!D35)</f>
        <v/>
      </c>
      <c r="E35" s="24">
        <f>SUM('Org_1:Org_8'!E35)</f>
        <v/>
      </c>
      <c r="F35" s="24">
        <f>SUM('Org_1:Org_8'!F35)</f>
        <v/>
      </c>
      <c r="G35" s="24">
        <f>SUM('Org_1:Org_8'!G35)</f>
        <v/>
      </c>
      <c r="H35" s="24">
        <f>SUM('Org_1:Org_8'!H35)</f>
        <v/>
      </c>
      <c r="I35" s="24">
        <f>SUM('Org_1:Org_8'!I35)</f>
        <v/>
      </c>
      <c r="J35" s="24">
        <f>SUM('Org_1:Org_8'!J35)</f>
        <v/>
      </c>
      <c r="K35" s="24">
        <f>SUM('Org_1:Org_8'!K35)</f>
        <v/>
      </c>
      <c r="L35" s="24">
        <f>SUM('Org_1:Org_8'!L35)</f>
        <v/>
      </c>
      <c r="M35" s="24">
        <f>SUM('Org_1:Org_8'!M35)</f>
        <v/>
      </c>
      <c r="N35" s="24">
        <f>SUM('Org_1:Org_8'!N35)</f>
        <v/>
      </c>
      <c r="O35" s="24">
        <f>SUM('Org_1:Org_8'!O35)</f>
        <v/>
      </c>
      <c r="P35" s="24">
        <f>SUM('Org_1:Org_8'!P35)</f>
        <v/>
      </c>
      <c r="Q35" s="24">
        <f>SUM('Org_1:Org_8'!Q35)</f>
        <v/>
      </c>
      <c r="R35" s="24">
        <f>SUM('Org_1:Org_8'!R35)</f>
        <v/>
      </c>
      <c r="S35" s="24">
        <f>SUM('Org_1:Org_8'!S35)</f>
        <v/>
      </c>
      <c r="T35" s="24">
        <f>SUM('Org_1:Org_8'!T35)</f>
        <v/>
      </c>
      <c r="U35" s="24">
        <f>SUM('Org_1:Org_8'!U35)</f>
        <v/>
      </c>
      <c r="V35" s="24">
        <f>SUM('Org_1:Org_8'!V35)</f>
        <v/>
      </c>
      <c r="W35" s="24">
        <f>SUM('Org_1:Org_8'!W35)</f>
        <v/>
      </c>
      <c r="X35" s="24">
        <f>SUM('Org_1:Org_8'!X35)</f>
        <v/>
      </c>
      <c r="Y35" s="24">
        <f>SUM('Org_1:Org_8'!Y35)</f>
        <v/>
      </c>
      <c r="Z35" s="24">
        <f>SUM('Org_1:Org_8'!Z35)</f>
        <v/>
      </c>
      <c r="AA35" s="24">
        <f>SUM('Org_1:Org_8'!AA35)</f>
        <v/>
      </c>
      <c r="AB35" s="24">
        <f>SUM('Org_1:Org_8'!AB35)</f>
        <v/>
      </c>
      <c r="AC35" s="24">
        <f>SUM('Org_1:Org_8'!AC35)</f>
        <v/>
      </c>
      <c r="AD35" s="24">
        <f>SUM('Org_1:Org_8'!AD35)</f>
        <v/>
      </c>
      <c r="AE35" s="24">
        <f>SUM('Org_1:Org_8'!AE35)</f>
        <v/>
      </c>
      <c r="AF35" s="24">
        <f>SUM('Org_1:Org_8'!AF35)</f>
        <v/>
      </c>
      <c r="AG35" s="24">
        <f>SUM('Org_1:Org_8'!AG35)</f>
        <v/>
      </c>
      <c r="AH35" s="24">
        <f>SUM('Org_1:Org_8'!AH35)</f>
        <v/>
      </c>
      <c r="AI35" s="24">
        <f>SUM('Org_1:Org_8'!AI35)</f>
        <v/>
      </c>
      <c r="AJ35" s="24">
        <f>SUM('Org_1:Org_8'!AJ35)</f>
        <v/>
      </c>
      <c r="AK35" s="24">
        <f>SUM('Org_1:Org_8'!AK35)</f>
        <v/>
      </c>
      <c r="AL35" s="24">
        <f>SUM('Org_1:Org_8'!AL35)</f>
        <v/>
      </c>
      <c r="AM35" s="24">
        <f>SUM('Org_1:Org_8'!AM35)</f>
        <v/>
      </c>
      <c r="AN35" s="24">
        <f>SUM('Org_1:Org_8'!AN35)</f>
        <v/>
      </c>
      <c r="AO35" s="24">
        <f>SUM('Org_1:Org_8'!AO35)</f>
        <v/>
      </c>
      <c r="AP35" s="24">
        <f>SUM('Org_1:Org_8'!AP35)</f>
        <v/>
      </c>
      <c r="AQ35" s="24">
        <f>SUM('Org_1:Org_8'!AQ35)</f>
        <v/>
      </c>
      <c r="AR35" s="24">
        <f>SUM('Org_1:Org_8'!AR35)</f>
        <v/>
      </c>
      <c r="AS35" s="24">
        <f>SUM('Org_1:Org_8'!AS35)</f>
        <v/>
      </c>
      <c r="AT35" s="24">
        <f>SUM('Org_1:Org_8'!AT35)</f>
        <v/>
      </c>
      <c r="AU35" s="24">
        <f>SUM('Org_1:Org_8'!AU35)</f>
        <v/>
      </c>
      <c r="AV35" s="24">
        <f>SUM('Org_1:Org_8'!AV35)</f>
        <v/>
      </c>
      <c r="AW35" s="24">
        <f>SUM('Org_1:Org_8'!AW35)</f>
        <v/>
      </c>
      <c r="AX35" s="24">
        <f>SUM('Org_1:Org_8'!AX35)</f>
        <v/>
      </c>
    </row>
    <row r="36">
      <c r="A36" t="inlineStr">
        <is>
          <t>Net labor arbitrage — Actual</t>
        </is>
      </c>
      <c r="B36" s="5" t="inlineStr">
        <is>
          <t>$K · auto</t>
        </is>
      </c>
      <c r="C36" s="15">
        <f>C26-C32</f>
        <v/>
      </c>
      <c r="D36" s="15">
        <f>D26-D32</f>
        <v/>
      </c>
      <c r="E36" s="15">
        <f>E26-E32</f>
        <v/>
      </c>
      <c r="F36" s="15">
        <f>F26-F32</f>
        <v/>
      </c>
      <c r="G36" s="15">
        <f>G26-G32</f>
        <v/>
      </c>
      <c r="H36" s="15">
        <f>H26-H32</f>
        <v/>
      </c>
      <c r="I36" s="15">
        <f>I26-I32</f>
        <v/>
      </c>
      <c r="J36" s="15">
        <f>J26-J32</f>
        <v/>
      </c>
      <c r="K36" s="15">
        <f>K26-K32</f>
        <v/>
      </c>
      <c r="L36" s="15">
        <f>L26-L32</f>
        <v/>
      </c>
      <c r="M36" s="15">
        <f>M26-M32</f>
        <v/>
      </c>
      <c r="N36" s="15">
        <f>N26-N32</f>
        <v/>
      </c>
      <c r="O36" s="15">
        <f>O26-O32</f>
        <v/>
      </c>
      <c r="P36" s="15">
        <f>P26-P32</f>
        <v/>
      </c>
      <c r="Q36" s="15">
        <f>Q26-Q32</f>
        <v/>
      </c>
      <c r="R36" s="15">
        <f>R26-R32</f>
        <v/>
      </c>
      <c r="S36" s="15">
        <f>S26-S32</f>
        <v/>
      </c>
      <c r="T36" s="15">
        <f>T26-T32</f>
        <v/>
      </c>
      <c r="U36" s="15">
        <f>U26-U32</f>
        <v/>
      </c>
      <c r="V36" s="15">
        <f>V26-V32</f>
        <v/>
      </c>
      <c r="W36" s="15">
        <f>W26-W32</f>
        <v/>
      </c>
      <c r="X36" s="15">
        <f>X26-X32</f>
        <v/>
      </c>
      <c r="Y36" s="15">
        <f>Y26-Y32</f>
        <v/>
      </c>
      <c r="Z36" s="15">
        <f>Z26-Z32</f>
        <v/>
      </c>
      <c r="AA36" s="15">
        <f>AA26-AA32</f>
        <v/>
      </c>
      <c r="AB36" s="15">
        <f>AB26-AB32</f>
        <v/>
      </c>
      <c r="AC36" s="15">
        <f>AC26-AC32</f>
        <v/>
      </c>
      <c r="AD36" s="15">
        <f>AD26-AD32</f>
        <v/>
      </c>
      <c r="AE36" s="15">
        <f>AE26-AE32</f>
        <v/>
      </c>
      <c r="AF36" s="15">
        <f>AF26-AF32</f>
        <v/>
      </c>
      <c r="AG36" s="15">
        <f>AG26-AG32</f>
        <v/>
      </c>
      <c r="AH36" s="15">
        <f>AH26-AH32</f>
        <v/>
      </c>
      <c r="AI36" s="15">
        <f>AI26-AI32</f>
        <v/>
      </c>
      <c r="AJ36" s="15">
        <f>AJ26-AJ32</f>
        <v/>
      </c>
      <c r="AK36" s="15">
        <f>AK26-AK32</f>
        <v/>
      </c>
      <c r="AL36" s="15">
        <f>AL26-AL32</f>
        <v/>
      </c>
      <c r="AM36" s="15">
        <f>AM26-AM32</f>
        <v/>
      </c>
      <c r="AN36" s="15">
        <f>AN26-AN32</f>
        <v/>
      </c>
      <c r="AO36" s="15">
        <f>AO26-AO32</f>
        <v/>
      </c>
      <c r="AP36" s="15">
        <f>AP26-AP32</f>
        <v/>
      </c>
      <c r="AQ36" s="15">
        <f>AQ26-AQ32</f>
        <v/>
      </c>
      <c r="AR36" s="15">
        <f>AR26-AR32</f>
        <v/>
      </c>
      <c r="AS36" s="15">
        <f>AS26-AS32</f>
        <v/>
      </c>
      <c r="AT36" s="15">
        <f>AT26-AT32</f>
        <v/>
      </c>
      <c r="AU36" s="15">
        <f>AU26-AU32</f>
        <v/>
      </c>
      <c r="AV36" s="15">
        <f>AV26-AV32</f>
        <v/>
      </c>
      <c r="AW36" s="15">
        <f>AW26-AW32</f>
        <v/>
      </c>
      <c r="AX36" s="15">
        <f>AX26-AX32</f>
        <v/>
      </c>
    </row>
    <row r="37">
      <c r="A37" t="inlineStr">
        <is>
          <t>Net variance (Actual − Target)</t>
        </is>
      </c>
      <c r="B37" s="5" t="inlineStr">
        <is>
          <t>$K · auto</t>
        </is>
      </c>
      <c r="C37" s="15">
        <f>C36-C35</f>
        <v/>
      </c>
      <c r="D37" s="15">
        <f>D36-D35</f>
        <v/>
      </c>
      <c r="E37" s="15">
        <f>E36-E35</f>
        <v/>
      </c>
      <c r="F37" s="15">
        <f>F36-F35</f>
        <v/>
      </c>
      <c r="G37" s="15">
        <f>G36-G35</f>
        <v/>
      </c>
      <c r="H37" s="15">
        <f>H36-H35</f>
        <v/>
      </c>
      <c r="I37" s="15">
        <f>I36-I35</f>
        <v/>
      </c>
      <c r="J37" s="15">
        <f>J36-J35</f>
        <v/>
      </c>
      <c r="K37" s="15">
        <f>K36-K35</f>
        <v/>
      </c>
      <c r="L37" s="15">
        <f>L36-L35</f>
        <v/>
      </c>
      <c r="M37" s="15">
        <f>M36-M35</f>
        <v/>
      </c>
      <c r="N37" s="15">
        <f>N36-N35</f>
        <v/>
      </c>
      <c r="O37" s="15">
        <f>O36-O35</f>
        <v/>
      </c>
      <c r="P37" s="15">
        <f>P36-P35</f>
        <v/>
      </c>
      <c r="Q37" s="15">
        <f>Q36-Q35</f>
        <v/>
      </c>
      <c r="R37" s="15">
        <f>R36-R35</f>
        <v/>
      </c>
      <c r="S37" s="15">
        <f>S36-S35</f>
        <v/>
      </c>
      <c r="T37" s="15">
        <f>T36-T35</f>
        <v/>
      </c>
      <c r="U37" s="15">
        <f>U36-U35</f>
        <v/>
      </c>
      <c r="V37" s="15">
        <f>V36-V35</f>
        <v/>
      </c>
      <c r="W37" s="15">
        <f>W36-W35</f>
        <v/>
      </c>
      <c r="X37" s="15">
        <f>X36-X35</f>
        <v/>
      </c>
      <c r="Y37" s="15">
        <f>Y36-Y35</f>
        <v/>
      </c>
      <c r="Z37" s="15">
        <f>Z36-Z35</f>
        <v/>
      </c>
      <c r="AA37" s="15">
        <f>AA36-AA35</f>
        <v/>
      </c>
      <c r="AB37" s="15">
        <f>AB36-AB35</f>
        <v/>
      </c>
      <c r="AC37" s="15">
        <f>AC36-AC35</f>
        <v/>
      </c>
      <c r="AD37" s="15">
        <f>AD36-AD35</f>
        <v/>
      </c>
      <c r="AE37" s="15">
        <f>AE36-AE35</f>
        <v/>
      </c>
      <c r="AF37" s="15">
        <f>AF36-AF35</f>
        <v/>
      </c>
      <c r="AG37" s="15">
        <f>AG36-AG35</f>
        <v/>
      </c>
      <c r="AH37" s="15">
        <f>AH36-AH35</f>
        <v/>
      </c>
      <c r="AI37" s="15">
        <f>AI36-AI35</f>
        <v/>
      </c>
      <c r="AJ37" s="15">
        <f>AJ36-AJ35</f>
        <v/>
      </c>
      <c r="AK37" s="15">
        <f>AK36-AK35</f>
        <v/>
      </c>
      <c r="AL37" s="15">
        <f>AL36-AL35</f>
        <v/>
      </c>
      <c r="AM37" s="15">
        <f>AM36-AM35</f>
        <v/>
      </c>
      <c r="AN37" s="15">
        <f>AN36-AN35</f>
        <v/>
      </c>
      <c r="AO37" s="15">
        <f>AO36-AO35</f>
        <v/>
      </c>
      <c r="AP37" s="15">
        <f>AP36-AP35</f>
        <v/>
      </c>
      <c r="AQ37" s="15">
        <f>AQ36-AQ35</f>
        <v/>
      </c>
      <c r="AR37" s="15">
        <f>AR36-AR35</f>
        <v/>
      </c>
      <c r="AS37" s="15">
        <f>AS36-AS35</f>
        <v/>
      </c>
      <c r="AT37" s="15">
        <f>AT36-AT35</f>
        <v/>
      </c>
      <c r="AU37" s="15">
        <f>AU36-AU35</f>
        <v/>
      </c>
      <c r="AV37" s="15">
        <f>AV36-AV35</f>
        <v/>
      </c>
      <c r="AW37" s="15">
        <f>AW36-AW35</f>
        <v/>
      </c>
      <c r="AX37" s="15">
        <f>AX36-AX35</f>
        <v/>
      </c>
    </row>
    <row r="38">
      <c r="A38" t="inlineStr">
        <is>
          <t>Cumulative net arbitrage — Target</t>
        </is>
      </c>
      <c r="B38" s="5" t="inlineStr">
        <is>
          <t>$K · auto</t>
        </is>
      </c>
      <c r="C38" s="24">
        <f>SUM($C35:C35)</f>
        <v/>
      </c>
      <c r="D38" s="24">
        <f>SUM($C35:D35)</f>
        <v/>
      </c>
      <c r="E38" s="24">
        <f>SUM($C35:E35)</f>
        <v/>
      </c>
      <c r="F38" s="24">
        <f>SUM($C35:F35)</f>
        <v/>
      </c>
      <c r="G38" s="24">
        <f>SUM($C35:G35)</f>
        <v/>
      </c>
      <c r="H38" s="24">
        <f>SUM($C35:H35)</f>
        <v/>
      </c>
      <c r="I38" s="24">
        <f>SUM($C35:I35)</f>
        <v/>
      </c>
      <c r="J38" s="24">
        <f>SUM($C35:J35)</f>
        <v/>
      </c>
      <c r="K38" s="24">
        <f>SUM($C35:K35)</f>
        <v/>
      </c>
      <c r="L38" s="24">
        <f>SUM($C35:L35)</f>
        <v/>
      </c>
      <c r="M38" s="24">
        <f>SUM($C35:M35)</f>
        <v/>
      </c>
      <c r="N38" s="24">
        <f>SUM($C35:N35)</f>
        <v/>
      </c>
      <c r="O38" s="24">
        <f>SUM($C35:O35)</f>
        <v/>
      </c>
      <c r="P38" s="24">
        <f>SUM($C35:P35)</f>
        <v/>
      </c>
      <c r="Q38" s="24">
        <f>SUM($C35:Q35)</f>
        <v/>
      </c>
      <c r="R38" s="24">
        <f>SUM($C35:R35)</f>
        <v/>
      </c>
      <c r="S38" s="24">
        <f>SUM($C35:S35)</f>
        <v/>
      </c>
      <c r="T38" s="24">
        <f>SUM($C35:T35)</f>
        <v/>
      </c>
      <c r="U38" s="24">
        <f>SUM($C35:U35)</f>
        <v/>
      </c>
      <c r="V38" s="24">
        <f>SUM($C35:V35)</f>
        <v/>
      </c>
      <c r="W38" s="24">
        <f>SUM($C35:W35)</f>
        <v/>
      </c>
      <c r="X38" s="24">
        <f>SUM($C35:X35)</f>
        <v/>
      </c>
      <c r="Y38" s="24">
        <f>SUM($C35:Y35)</f>
        <v/>
      </c>
      <c r="Z38" s="24">
        <f>SUM($C35:Z35)</f>
        <v/>
      </c>
      <c r="AA38" s="24">
        <f>SUM($C35:AA35)</f>
        <v/>
      </c>
      <c r="AB38" s="24">
        <f>SUM($C35:AB35)</f>
        <v/>
      </c>
      <c r="AC38" s="24">
        <f>SUM($C35:AC35)</f>
        <v/>
      </c>
      <c r="AD38" s="24">
        <f>SUM($C35:AD35)</f>
        <v/>
      </c>
      <c r="AE38" s="24">
        <f>SUM($C35:AE35)</f>
        <v/>
      </c>
      <c r="AF38" s="24">
        <f>SUM($C35:AF35)</f>
        <v/>
      </c>
      <c r="AG38" s="24">
        <f>SUM($C35:AG35)</f>
        <v/>
      </c>
      <c r="AH38" s="24">
        <f>SUM($C35:AH35)</f>
        <v/>
      </c>
      <c r="AI38" s="24">
        <f>SUM($C35:AI35)</f>
        <v/>
      </c>
      <c r="AJ38" s="24">
        <f>SUM($C35:AJ35)</f>
        <v/>
      </c>
      <c r="AK38" s="24">
        <f>SUM($C35:AK35)</f>
        <v/>
      </c>
      <c r="AL38" s="24">
        <f>SUM($C35:AL35)</f>
        <v/>
      </c>
      <c r="AM38" s="24">
        <f>SUM($C35:AM35)</f>
        <v/>
      </c>
      <c r="AN38" s="24">
        <f>SUM($C35:AN35)</f>
        <v/>
      </c>
      <c r="AO38" s="24">
        <f>SUM($C35:AO35)</f>
        <v/>
      </c>
      <c r="AP38" s="24">
        <f>SUM($C35:AP35)</f>
        <v/>
      </c>
      <c r="AQ38" s="24">
        <f>SUM($C35:AQ35)</f>
        <v/>
      </c>
      <c r="AR38" s="24">
        <f>SUM($C35:AR35)</f>
        <v/>
      </c>
      <c r="AS38" s="24">
        <f>SUM($C35:AS35)</f>
        <v/>
      </c>
      <c r="AT38" s="24">
        <f>SUM($C35:AT35)</f>
        <v/>
      </c>
      <c r="AU38" s="24">
        <f>SUM($C35:AU35)</f>
        <v/>
      </c>
      <c r="AV38" s="24">
        <f>SUM($C35:AV35)</f>
        <v/>
      </c>
      <c r="AW38" s="24">
        <f>SUM($C35:AW35)</f>
        <v/>
      </c>
      <c r="AX38" s="24">
        <f>SUM($C35:AX35)</f>
        <v/>
      </c>
    </row>
    <row r="39">
      <c r="A39" t="inlineStr">
        <is>
          <t>Cumulative net arbitrage — Actual</t>
        </is>
      </c>
      <c r="B39" s="5" t="inlineStr">
        <is>
          <t>$K · auto</t>
        </is>
      </c>
      <c r="C39" s="15">
        <f>SUM($C36:C36)</f>
        <v/>
      </c>
      <c r="D39" s="15">
        <f>SUM($C36:D36)</f>
        <v/>
      </c>
      <c r="E39" s="15">
        <f>SUM($C36:E36)</f>
        <v/>
      </c>
      <c r="F39" s="15">
        <f>SUM($C36:F36)</f>
        <v/>
      </c>
      <c r="G39" s="15">
        <f>SUM($C36:G36)</f>
        <v/>
      </c>
      <c r="H39" s="15">
        <f>SUM($C36:H36)</f>
        <v/>
      </c>
      <c r="I39" s="15">
        <f>SUM($C36:I36)</f>
        <v/>
      </c>
      <c r="J39" s="15">
        <f>SUM($C36:J36)</f>
        <v/>
      </c>
      <c r="K39" s="15">
        <f>SUM($C36:K36)</f>
        <v/>
      </c>
      <c r="L39" s="15">
        <f>SUM($C36:L36)</f>
        <v/>
      </c>
      <c r="M39" s="15">
        <f>SUM($C36:M36)</f>
        <v/>
      </c>
      <c r="N39" s="15">
        <f>SUM($C36:N36)</f>
        <v/>
      </c>
      <c r="O39" s="15">
        <f>SUM($C36:O36)</f>
        <v/>
      </c>
      <c r="P39" s="15">
        <f>SUM($C36:P36)</f>
        <v/>
      </c>
      <c r="Q39" s="15">
        <f>SUM($C36:Q36)</f>
        <v/>
      </c>
      <c r="R39" s="15">
        <f>SUM($C36:R36)</f>
        <v/>
      </c>
      <c r="S39" s="15">
        <f>SUM($C36:S36)</f>
        <v/>
      </c>
      <c r="T39" s="15">
        <f>SUM($C36:T36)</f>
        <v/>
      </c>
      <c r="U39" s="15">
        <f>SUM($C36:U36)</f>
        <v/>
      </c>
      <c r="V39" s="15">
        <f>SUM($C36:V36)</f>
        <v/>
      </c>
      <c r="W39" s="15">
        <f>SUM($C36:W36)</f>
        <v/>
      </c>
      <c r="X39" s="15">
        <f>SUM($C36:X36)</f>
        <v/>
      </c>
      <c r="Y39" s="15">
        <f>SUM($C36:Y36)</f>
        <v/>
      </c>
      <c r="Z39" s="15">
        <f>SUM($C36:Z36)</f>
        <v/>
      </c>
      <c r="AA39" s="15">
        <f>SUM($C36:AA36)</f>
        <v/>
      </c>
      <c r="AB39" s="15">
        <f>SUM($C36:AB36)</f>
        <v/>
      </c>
      <c r="AC39" s="15">
        <f>SUM($C36:AC36)</f>
        <v/>
      </c>
      <c r="AD39" s="15">
        <f>SUM($C36:AD36)</f>
        <v/>
      </c>
      <c r="AE39" s="15">
        <f>SUM($C36:AE36)</f>
        <v/>
      </c>
      <c r="AF39" s="15">
        <f>SUM($C36:AF36)</f>
        <v/>
      </c>
      <c r="AG39" s="15">
        <f>SUM($C36:AG36)</f>
        <v/>
      </c>
      <c r="AH39" s="15">
        <f>SUM($C36:AH36)</f>
        <v/>
      </c>
      <c r="AI39" s="15">
        <f>SUM($C36:AI36)</f>
        <v/>
      </c>
      <c r="AJ39" s="15">
        <f>SUM($C36:AJ36)</f>
        <v/>
      </c>
      <c r="AK39" s="15">
        <f>SUM($C36:AK36)</f>
        <v/>
      </c>
      <c r="AL39" s="15">
        <f>SUM($C36:AL36)</f>
        <v/>
      </c>
      <c r="AM39" s="15">
        <f>SUM($C36:AM36)</f>
        <v/>
      </c>
      <c r="AN39" s="15">
        <f>SUM($C36:AN36)</f>
        <v/>
      </c>
      <c r="AO39" s="15">
        <f>SUM($C36:AO36)</f>
        <v/>
      </c>
      <c r="AP39" s="15">
        <f>SUM($C36:AP36)</f>
        <v/>
      </c>
      <c r="AQ39" s="15">
        <f>SUM($C36:AQ36)</f>
        <v/>
      </c>
      <c r="AR39" s="15">
        <f>SUM($C36:AR36)</f>
        <v/>
      </c>
      <c r="AS39" s="15">
        <f>SUM($C36:AS36)</f>
        <v/>
      </c>
      <c r="AT39" s="15">
        <f>SUM($C36:AT36)</f>
        <v/>
      </c>
      <c r="AU39" s="15">
        <f>SUM($C36:AU36)</f>
        <v/>
      </c>
      <c r="AV39" s="15">
        <f>SUM($C36:AV36)</f>
        <v/>
      </c>
      <c r="AW39" s="15">
        <f>SUM($C36:AW36)</f>
        <v/>
      </c>
      <c r="AX39" s="15">
        <f>SUM($C36:AX36)</f>
        <v/>
      </c>
    </row>
    <row r="40">
      <c r="A40" s="11" t="inlineStr">
        <is>
          <t>E.  STATUS, ATTESTATION &amp; COMMENTARY</t>
        </is>
      </c>
      <c r="B40" s="16" t="inlineStr">
        <is>
          <t xml:space="preserve"> · auto</t>
        </is>
      </c>
      <c r="C40" s="12" t="n"/>
      <c r="D40" s="12" t="n"/>
      <c r="E40" s="12" t="n"/>
      <c r="F40" s="12" t="n"/>
      <c r="G40" s="12" t="n"/>
      <c r="H40" s="12" t="n"/>
      <c r="I40" s="12" t="n"/>
      <c r="J40" s="12" t="n"/>
      <c r="K40" s="12" t="n"/>
      <c r="L40" s="12" t="n"/>
      <c r="M40" s="12" t="n"/>
      <c r="N40" s="12" t="n"/>
      <c r="O40" s="12" t="n"/>
      <c r="P40" s="12" t="n"/>
      <c r="Q40" s="12" t="n"/>
      <c r="R40" s="12" t="n"/>
      <c r="S40" s="12" t="n"/>
      <c r="T40" s="12" t="n"/>
      <c r="U40" s="12" t="n"/>
      <c r="V40" s="12" t="n"/>
      <c r="W40" s="12" t="n"/>
      <c r="X40" s="12" t="n"/>
      <c r="Y40" s="12" t="n"/>
      <c r="Z40" s="12" t="n"/>
      <c r="AA40" s="12" t="n"/>
      <c r="AB40" s="12" t="n"/>
      <c r="AC40" s="12" t="n"/>
      <c r="AD40" s="12" t="n"/>
      <c r="AE40" s="12" t="n"/>
      <c r="AF40" s="12" t="n"/>
      <c r="AG40" s="12" t="n"/>
      <c r="AH40" s="12" t="n"/>
      <c r="AI40" s="12" t="n"/>
      <c r="AJ40" s="12" t="n"/>
      <c r="AK40" s="12" t="n"/>
      <c r="AL40" s="12" t="n"/>
      <c r="AM40" s="12" t="n"/>
      <c r="AN40" s="12" t="n"/>
      <c r="AO40" s="12" t="n"/>
      <c r="AP40" s="12" t="n"/>
      <c r="AQ40" s="12" t="n"/>
      <c r="AR40" s="12" t="n"/>
      <c r="AS40" s="12" t="n"/>
      <c r="AT40" s="12" t="n"/>
      <c r="AU40" s="12" t="n"/>
      <c r="AV40" s="12" t="n"/>
      <c r="AW40" s="12" t="n"/>
      <c r="AX40" s="12" t="n"/>
    </row>
    <row r="41">
      <c r="A41" t="inlineStr">
        <is>
          <t>Overall RAG status for month</t>
        </is>
      </c>
      <c r="B41" s="5" t="inlineStr">
        <is>
          <t>see org tabs / Dashboard</t>
        </is>
      </c>
    </row>
    <row r="42">
      <c r="A42" t="inlineStr">
        <is>
          <t>Attest: reductions free of leakage?</t>
        </is>
      </c>
      <c r="B42" s="5" t="inlineStr">
        <is>
          <t>see org tabs / Dashboard</t>
        </is>
      </c>
    </row>
    <row r="43">
      <c r="A43" t="inlineStr">
        <is>
          <t>Attested by (org finance partner)</t>
        </is>
      </c>
      <c r="B43" s="5" t="inlineStr">
        <is>
          <t>see org tabs / Dashboard</t>
        </is>
      </c>
    </row>
    <row r="44">
      <c r="A44" t="inlineStr">
        <is>
          <t>Commentary (required on material variance)</t>
        </is>
      </c>
      <c r="B44" s="5" t="inlineStr">
        <is>
          <t>see org tabs / Dashboard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X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6" customWidth="1" min="1" max="1"/>
    <col width="20"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 width="10.5" customWidth="1" min="12" max="12"/>
    <col width="10.5" customWidth="1" min="13" max="13"/>
    <col width="10.5" customWidth="1" min="14" max="14"/>
    <col width="10.5" customWidth="1" min="15" max="15"/>
    <col width="10.5" customWidth="1" min="16" max="16"/>
    <col width="10.5" customWidth="1" min="17" max="17"/>
    <col width="10.5" customWidth="1" min="18" max="18"/>
    <col width="10.5" customWidth="1" min="19" max="19"/>
    <col width="10.5" customWidth="1" min="20" max="20"/>
    <col width="10.5" customWidth="1" min="21" max="21"/>
    <col width="10.5" customWidth="1" min="22" max="22"/>
    <col width="10.5" customWidth="1" min="23" max="23"/>
    <col width="10.5" customWidth="1" min="24" max="24"/>
    <col width="10.5" customWidth="1" min="25" max="25"/>
    <col width="10.5" customWidth="1" min="26" max="26"/>
    <col width="10.5" customWidth="1" min="27" max="27"/>
    <col width="10.5" customWidth="1" min="28" max="28"/>
    <col width="10.5" customWidth="1" min="29" max="29"/>
    <col width="10.5" customWidth="1" min="30" max="30"/>
    <col width="10.5" customWidth="1" min="31" max="31"/>
    <col width="10.5" customWidth="1" min="32" max="32"/>
    <col width="10.5" customWidth="1" min="33" max="33"/>
    <col width="10.5" customWidth="1" min="34" max="34"/>
    <col width="10.5" customWidth="1" min="35" max="35"/>
    <col width="10.5" customWidth="1" min="36" max="36"/>
    <col width="10.5" customWidth="1" min="37" max="37"/>
    <col width="10.5" customWidth="1" min="38" max="38"/>
    <col width="10.5" customWidth="1" min="39" max="39"/>
    <col width="10.5" customWidth="1" min="40" max="40"/>
    <col width="10.5" customWidth="1" min="41" max="41"/>
    <col width="10.5" customWidth="1" min="42" max="42"/>
    <col width="10.5" customWidth="1" min="43" max="43"/>
    <col width="10.5" customWidth="1" min="44" max="44"/>
    <col width="10.5" customWidth="1" min="45" max="45"/>
    <col width="10.5" customWidth="1" min="46" max="46"/>
    <col width="10.5" customWidth="1" min="47" max="47"/>
    <col width="10.5" customWidth="1" min="48" max="48"/>
    <col width="10.5" customWidth="1" min="49" max="49"/>
    <col width="10.5" customWidth="1" min="50" max="50"/>
  </cols>
  <sheetData>
    <row r="1">
      <c r="A1" s="4" t="inlineStr">
        <is>
          <t>India Labor Arbitrage Program — Executive Dashboard</t>
        </is>
      </c>
    </row>
    <row r="3">
      <c r="A3" s="8" t="inlineStr">
        <is>
          <t>PROGRAM KPIs (inception-to-date over all entered months)</t>
        </is>
      </c>
    </row>
    <row r="4">
      <c r="A4" t="inlineStr">
        <is>
          <t>Cumulative India hires — Target (program)</t>
        </is>
      </c>
      <c r="B4" s="28">
        <f>SUM(Consolidation!C7:AX7)</f>
        <v/>
      </c>
    </row>
    <row r="5">
      <c r="A5" t="inlineStr">
        <is>
          <t>Cumulative India hires — Actual (program)</t>
        </is>
      </c>
      <c r="B5" s="28">
        <f>SUM(Consolidation!C8:AX8)</f>
        <v/>
      </c>
    </row>
    <row r="6">
      <c r="A6" t="inlineStr">
        <is>
          <t>Net labor arbitrage ITD — Target ($K)</t>
        </is>
      </c>
      <c r="B6" s="15">
        <f>SUM(Consolidation!C35:AX35)</f>
        <v/>
      </c>
    </row>
    <row r="7">
      <c r="A7" t="inlineStr">
        <is>
          <t>Net labor arbitrage ITD — Actual ($K)</t>
        </is>
      </c>
      <c r="B7" s="15">
        <f>SUM(Consolidation!C36:AX36)</f>
        <v/>
      </c>
    </row>
    <row r="8">
      <c r="A8" t="inlineStr">
        <is>
          <t>Exit run-rate of reductions, latest reported ($K annualized)</t>
        </is>
      </c>
      <c r="B8" s="15">
        <f>LOOKUP(9.99E+307,Consolidation!C29:AX29)</f>
        <v/>
      </c>
    </row>
    <row r="11">
      <c r="A11" s="8" t="inlineStr">
        <is>
          <t>ANNUAL SUMMARY</t>
        </is>
      </c>
    </row>
    <row r="12">
      <c r="B12" s="29" t="n">
        <v>2026</v>
      </c>
      <c r="C12" s="29" t="n">
        <v>2027</v>
      </c>
      <c r="D12" s="29" t="n">
        <v>2028</v>
      </c>
      <c r="E12" s="29" t="n">
        <v>2029</v>
      </c>
    </row>
    <row r="13">
      <c r="A13" t="inlineStr">
        <is>
          <t>India hires — Target (heads)</t>
        </is>
      </c>
      <c r="B13" s="19">
        <f>SUM(Consolidation!C7:N7)</f>
        <v/>
      </c>
      <c r="C13" s="19">
        <f>SUM(Consolidation!O7:Z7)</f>
        <v/>
      </c>
      <c r="D13" s="19">
        <f>SUM(Consolidation!AA7:AL7)</f>
        <v/>
      </c>
      <c r="E13" s="19">
        <f>SUM(Consolidation!AM7:AX7)</f>
        <v/>
      </c>
    </row>
    <row r="14">
      <c r="A14" t="inlineStr">
        <is>
          <t>India hires — Actual (heads)</t>
        </is>
      </c>
      <c r="B14" s="19">
        <f>SUM(Consolidation!C8:N8)</f>
        <v/>
      </c>
      <c r="C14" s="19">
        <f>SUM(Consolidation!O8:Z8)</f>
        <v/>
      </c>
      <c r="D14" s="19">
        <f>SUM(Consolidation!AA8:AL8)</f>
        <v/>
      </c>
      <c r="E14" s="19">
        <f>SUM(Consolidation!AM8:AX8)</f>
        <v/>
      </c>
    </row>
    <row r="15">
      <c r="A15" t="inlineStr">
        <is>
          <t>Gross reductions — Target ($K)</t>
        </is>
      </c>
      <c r="B15" s="24">
        <f>SUM(Consolidation!C25:N25)</f>
        <v/>
      </c>
      <c r="C15" s="24">
        <f>SUM(Consolidation!O25:Z25)</f>
        <v/>
      </c>
      <c r="D15" s="24">
        <f>SUM(Consolidation!AA25:AL25)</f>
        <v/>
      </c>
      <c r="E15" s="24">
        <f>SUM(Consolidation!AM25:AX25)</f>
        <v/>
      </c>
    </row>
    <row r="16">
      <c r="A16" t="inlineStr">
        <is>
          <t>Gross reductions — Actual ($K)</t>
        </is>
      </c>
      <c r="B16" s="24">
        <f>SUM(Consolidation!C26:N26)</f>
        <v/>
      </c>
      <c r="C16" s="24">
        <f>SUM(Consolidation!O26:Z26)</f>
        <v/>
      </c>
      <c r="D16" s="24">
        <f>SUM(Consolidation!AA26:AL26)</f>
        <v/>
      </c>
      <c r="E16" s="24">
        <f>SUM(Consolidation!AM26:AX26)</f>
        <v/>
      </c>
    </row>
    <row r="17">
      <c r="A17" t="inlineStr">
        <is>
          <t>India cost adds — Actual ($K)</t>
        </is>
      </c>
      <c r="B17" s="24">
        <f>SUM(Consolidation!C32:N32)</f>
        <v/>
      </c>
      <c r="C17" s="24">
        <f>SUM(Consolidation!O32:Z32)</f>
        <v/>
      </c>
      <c r="D17" s="24">
        <f>SUM(Consolidation!AA32:AL32)</f>
        <v/>
      </c>
      <c r="E17" s="24">
        <f>SUM(Consolidation!AM32:AX32)</f>
        <v/>
      </c>
    </row>
    <row r="18">
      <c r="A18" t="inlineStr">
        <is>
          <t>One-time transition costs ($K)</t>
        </is>
      </c>
      <c r="B18" s="24">
        <f>SUM(Consolidation!C33:N33)</f>
        <v/>
      </c>
      <c r="C18" s="24">
        <f>SUM(Consolidation!O33:Z33)</f>
        <v/>
      </c>
      <c r="D18" s="24">
        <f>SUM(Consolidation!AA33:AL33)</f>
        <v/>
      </c>
      <c r="E18" s="24">
        <f>SUM(Consolidation!AM33:AX33)</f>
        <v/>
      </c>
    </row>
    <row r="19">
      <c r="A19" t="inlineStr">
        <is>
          <t>Net labor arbitrage — Target ($K)</t>
        </is>
      </c>
      <c r="B19" s="15">
        <f>SUM(Consolidation!C35:N35)</f>
        <v/>
      </c>
      <c r="C19" s="15">
        <f>SUM(Consolidation!O35:Z35)</f>
        <v/>
      </c>
      <c r="D19" s="15">
        <f>SUM(Consolidation!AA35:AL35)</f>
        <v/>
      </c>
      <c r="E19" s="15">
        <f>SUM(Consolidation!AM35:AX35)</f>
        <v/>
      </c>
    </row>
    <row r="20">
      <c r="A20" t="inlineStr">
        <is>
          <t>Net labor arbitrage — Actual ($K)</t>
        </is>
      </c>
      <c r="B20" s="15">
        <f>SUM(Consolidation!C36:N36)</f>
        <v/>
      </c>
      <c r="C20" s="15">
        <f>SUM(Consolidation!O36:Z36)</f>
        <v/>
      </c>
      <c r="D20" s="15">
        <f>SUM(Consolidation!AA36:AL36)</f>
        <v/>
      </c>
      <c r="E20" s="15">
        <f>SUM(Consolidation!AM36:AX36)</f>
        <v/>
      </c>
    </row>
    <row r="22">
      <c r="A22" s="8" t="inlineStr">
        <is>
          <t>MONTHLY TREND — NET LABOR ARBITRAGE ($K)</t>
        </is>
      </c>
      <c r="C22" s="8" t="n">
        <v>2026</v>
      </c>
      <c r="O22" s="8" t="n">
        <v>2027</v>
      </c>
      <c r="AA22" s="8" t="n">
        <v>2028</v>
      </c>
      <c r="AM22" s="8" t="n">
        <v>2029</v>
      </c>
    </row>
    <row r="23">
      <c r="A23" s="9" t="inlineStr">
        <is>
          <t>Metric</t>
        </is>
      </c>
      <c r="B23" s="9" t="inlineStr">
        <is>
          <t>Unit / who fills</t>
        </is>
      </c>
      <c r="C23" s="10" t="n">
        <v>46023</v>
      </c>
      <c r="D23" s="10" t="n">
        <v>46054</v>
      </c>
      <c r="E23" s="10" t="n">
        <v>46082</v>
      </c>
      <c r="F23" s="10" t="n">
        <v>46113</v>
      </c>
      <c r="G23" s="10" t="n">
        <v>46143</v>
      </c>
      <c r="H23" s="10" t="n">
        <v>46174</v>
      </c>
      <c r="I23" s="10" t="n">
        <v>46204</v>
      </c>
      <c r="J23" s="10" t="n">
        <v>46235</v>
      </c>
      <c r="K23" s="10" t="n">
        <v>46266</v>
      </c>
      <c r="L23" s="10" t="n">
        <v>46296</v>
      </c>
      <c r="M23" s="10" t="n">
        <v>46327</v>
      </c>
      <c r="N23" s="10" t="n">
        <v>46357</v>
      </c>
      <c r="O23" s="10" t="n">
        <v>46388</v>
      </c>
      <c r="P23" s="10" t="n">
        <v>46419</v>
      </c>
      <c r="Q23" s="10" t="n">
        <v>46447</v>
      </c>
      <c r="R23" s="10" t="n">
        <v>46478</v>
      </c>
      <c r="S23" s="10" t="n">
        <v>46508</v>
      </c>
      <c r="T23" s="10" t="n">
        <v>46539</v>
      </c>
      <c r="U23" s="10" t="n">
        <v>46569</v>
      </c>
      <c r="V23" s="10" t="n">
        <v>46600</v>
      </c>
      <c r="W23" s="10" t="n">
        <v>46631</v>
      </c>
      <c r="X23" s="10" t="n">
        <v>46661</v>
      </c>
      <c r="Y23" s="10" t="n">
        <v>46692</v>
      </c>
      <c r="Z23" s="10" t="n">
        <v>46722</v>
      </c>
      <c r="AA23" s="10" t="n">
        <v>46753</v>
      </c>
      <c r="AB23" s="10" t="n">
        <v>46784</v>
      </c>
      <c r="AC23" s="10" t="n">
        <v>46813</v>
      </c>
      <c r="AD23" s="10" t="n">
        <v>46844</v>
      </c>
      <c r="AE23" s="10" t="n">
        <v>46874</v>
      </c>
      <c r="AF23" s="10" t="n">
        <v>46905</v>
      </c>
      <c r="AG23" s="10" t="n">
        <v>46935</v>
      </c>
      <c r="AH23" s="10" t="n">
        <v>46966</v>
      </c>
      <c r="AI23" s="10" t="n">
        <v>46997</v>
      </c>
      <c r="AJ23" s="10" t="n">
        <v>47027</v>
      </c>
      <c r="AK23" s="10" t="n">
        <v>47058</v>
      </c>
      <c r="AL23" s="10" t="n">
        <v>47088</v>
      </c>
      <c r="AM23" s="10" t="n">
        <v>47119</v>
      </c>
      <c r="AN23" s="10" t="n">
        <v>47150</v>
      </c>
      <c r="AO23" s="10" t="n">
        <v>47178</v>
      </c>
      <c r="AP23" s="10" t="n">
        <v>47209</v>
      </c>
      <c r="AQ23" s="10" t="n">
        <v>47239</v>
      </c>
      <c r="AR23" s="10" t="n">
        <v>47270</v>
      </c>
      <c r="AS23" s="10" t="n">
        <v>47300</v>
      </c>
      <c r="AT23" s="10" t="n">
        <v>47331</v>
      </c>
      <c r="AU23" s="10" t="n">
        <v>47362</v>
      </c>
      <c r="AV23" s="10" t="n">
        <v>47392</v>
      </c>
      <c r="AW23" s="10" t="n">
        <v>47423</v>
      </c>
      <c r="AX23" s="10" t="n">
        <v>47453</v>
      </c>
    </row>
    <row r="24">
      <c r="A24" t="inlineStr">
        <is>
          <t>Net arbitrage — Target</t>
        </is>
      </c>
      <c r="C24" s="24">
        <f>Consolidation!C35</f>
        <v/>
      </c>
      <c r="D24" s="24">
        <f>Consolidation!D35</f>
        <v/>
      </c>
      <c r="E24" s="24">
        <f>Consolidation!E35</f>
        <v/>
      </c>
      <c r="F24" s="24">
        <f>Consolidation!F35</f>
        <v/>
      </c>
      <c r="G24" s="24">
        <f>Consolidation!G35</f>
        <v/>
      </c>
      <c r="H24" s="24">
        <f>Consolidation!H35</f>
        <v/>
      </c>
      <c r="I24" s="24">
        <f>Consolidation!I35</f>
        <v/>
      </c>
      <c r="J24" s="24">
        <f>Consolidation!J35</f>
        <v/>
      </c>
      <c r="K24" s="24">
        <f>Consolidation!K35</f>
        <v/>
      </c>
      <c r="L24" s="24">
        <f>Consolidation!L35</f>
        <v/>
      </c>
      <c r="M24" s="24">
        <f>Consolidation!M35</f>
        <v/>
      </c>
      <c r="N24" s="24">
        <f>Consolidation!N35</f>
        <v/>
      </c>
      <c r="O24" s="24">
        <f>Consolidation!O35</f>
        <v/>
      </c>
      <c r="P24" s="24">
        <f>Consolidation!P35</f>
        <v/>
      </c>
      <c r="Q24" s="24">
        <f>Consolidation!Q35</f>
        <v/>
      </c>
      <c r="R24" s="24">
        <f>Consolidation!R35</f>
        <v/>
      </c>
      <c r="S24" s="24">
        <f>Consolidation!S35</f>
        <v/>
      </c>
      <c r="T24" s="24">
        <f>Consolidation!T35</f>
        <v/>
      </c>
      <c r="U24" s="24">
        <f>Consolidation!U35</f>
        <v/>
      </c>
      <c r="V24" s="24">
        <f>Consolidation!V35</f>
        <v/>
      </c>
      <c r="W24" s="24">
        <f>Consolidation!W35</f>
        <v/>
      </c>
      <c r="X24" s="24">
        <f>Consolidation!X35</f>
        <v/>
      </c>
      <c r="Y24" s="24">
        <f>Consolidation!Y35</f>
        <v/>
      </c>
      <c r="Z24" s="24">
        <f>Consolidation!Z35</f>
        <v/>
      </c>
      <c r="AA24" s="24">
        <f>Consolidation!AA35</f>
        <v/>
      </c>
      <c r="AB24" s="24">
        <f>Consolidation!AB35</f>
        <v/>
      </c>
      <c r="AC24" s="24">
        <f>Consolidation!AC35</f>
        <v/>
      </c>
      <c r="AD24" s="24">
        <f>Consolidation!AD35</f>
        <v/>
      </c>
      <c r="AE24" s="24">
        <f>Consolidation!AE35</f>
        <v/>
      </c>
      <c r="AF24" s="24">
        <f>Consolidation!AF35</f>
        <v/>
      </c>
      <c r="AG24" s="24">
        <f>Consolidation!AG35</f>
        <v/>
      </c>
      <c r="AH24" s="24">
        <f>Consolidation!AH35</f>
        <v/>
      </c>
      <c r="AI24" s="24">
        <f>Consolidation!AI35</f>
        <v/>
      </c>
      <c r="AJ24" s="24">
        <f>Consolidation!AJ35</f>
        <v/>
      </c>
      <c r="AK24" s="24">
        <f>Consolidation!AK35</f>
        <v/>
      </c>
      <c r="AL24" s="24">
        <f>Consolidation!AL35</f>
        <v/>
      </c>
      <c r="AM24" s="24">
        <f>Consolidation!AM35</f>
        <v/>
      </c>
      <c r="AN24" s="24">
        <f>Consolidation!AN35</f>
        <v/>
      </c>
      <c r="AO24" s="24">
        <f>Consolidation!AO35</f>
        <v/>
      </c>
      <c r="AP24" s="24">
        <f>Consolidation!AP35</f>
        <v/>
      </c>
      <c r="AQ24" s="24">
        <f>Consolidation!AQ35</f>
        <v/>
      </c>
      <c r="AR24" s="24">
        <f>Consolidation!AR35</f>
        <v/>
      </c>
      <c r="AS24" s="24">
        <f>Consolidation!AS35</f>
        <v/>
      </c>
      <c r="AT24" s="24">
        <f>Consolidation!AT35</f>
        <v/>
      </c>
      <c r="AU24" s="24">
        <f>Consolidation!AU35</f>
        <v/>
      </c>
      <c r="AV24" s="24">
        <f>Consolidation!AV35</f>
        <v/>
      </c>
      <c r="AW24" s="24">
        <f>Consolidation!AW35</f>
        <v/>
      </c>
      <c r="AX24" s="24">
        <f>Consolidation!AX35</f>
        <v/>
      </c>
    </row>
    <row r="25">
      <c r="A25" t="inlineStr">
        <is>
          <t>Net arbitrage — Actual</t>
        </is>
      </c>
      <c r="C25" s="24">
        <f>Consolidation!C36</f>
        <v/>
      </c>
      <c r="D25" s="24">
        <f>Consolidation!D36</f>
        <v/>
      </c>
      <c r="E25" s="24">
        <f>Consolidation!E36</f>
        <v/>
      </c>
      <c r="F25" s="24">
        <f>Consolidation!F36</f>
        <v/>
      </c>
      <c r="G25" s="24">
        <f>Consolidation!G36</f>
        <v/>
      </c>
      <c r="H25" s="24">
        <f>Consolidation!H36</f>
        <v/>
      </c>
      <c r="I25" s="24">
        <f>Consolidation!I36</f>
        <v/>
      </c>
      <c r="J25" s="24">
        <f>Consolidation!J36</f>
        <v/>
      </c>
      <c r="K25" s="24">
        <f>Consolidation!K36</f>
        <v/>
      </c>
      <c r="L25" s="24">
        <f>Consolidation!L36</f>
        <v/>
      </c>
      <c r="M25" s="24">
        <f>Consolidation!M36</f>
        <v/>
      </c>
      <c r="N25" s="24">
        <f>Consolidation!N36</f>
        <v/>
      </c>
      <c r="O25" s="24">
        <f>Consolidation!O36</f>
        <v/>
      </c>
      <c r="P25" s="24">
        <f>Consolidation!P36</f>
        <v/>
      </c>
      <c r="Q25" s="24">
        <f>Consolidation!Q36</f>
        <v/>
      </c>
      <c r="R25" s="24">
        <f>Consolidation!R36</f>
        <v/>
      </c>
      <c r="S25" s="24">
        <f>Consolidation!S36</f>
        <v/>
      </c>
      <c r="T25" s="24">
        <f>Consolidation!T36</f>
        <v/>
      </c>
      <c r="U25" s="24">
        <f>Consolidation!U36</f>
        <v/>
      </c>
      <c r="V25" s="24">
        <f>Consolidation!V36</f>
        <v/>
      </c>
      <c r="W25" s="24">
        <f>Consolidation!W36</f>
        <v/>
      </c>
      <c r="X25" s="24">
        <f>Consolidation!X36</f>
        <v/>
      </c>
      <c r="Y25" s="24">
        <f>Consolidation!Y36</f>
        <v/>
      </c>
      <c r="Z25" s="24">
        <f>Consolidation!Z36</f>
        <v/>
      </c>
      <c r="AA25" s="24">
        <f>Consolidation!AA36</f>
        <v/>
      </c>
      <c r="AB25" s="24">
        <f>Consolidation!AB36</f>
        <v/>
      </c>
      <c r="AC25" s="24">
        <f>Consolidation!AC36</f>
        <v/>
      </c>
      <c r="AD25" s="24">
        <f>Consolidation!AD36</f>
        <v/>
      </c>
      <c r="AE25" s="24">
        <f>Consolidation!AE36</f>
        <v/>
      </c>
      <c r="AF25" s="24">
        <f>Consolidation!AF36</f>
        <v/>
      </c>
      <c r="AG25" s="24">
        <f>Consolidation!AG36</f>
        <v/>
      </c>
      <c r="AH25" s="24">
        <f>Consolidation!AH36</f>
        <v/>
      </c>
      <c r="AI25" s="24">
        <f>Consolidation!AI36</f>
        <v/>
      </c>
      <c r="AJ25" s="24">
        <f>Consolidation!AJ36</f>
        <v/>
      </c>
      <c r="AK25" s="24">
        <f>Consolidation!AK36</f>
        <v/>
      </c>
      <c r="AL25" s="24">
        <f>Consolidation!AL36</f>
        <v/>
      </c>
      <c r="AM25" s="24">
        <f>Consolidation!AM36</f>
        <v/>
      </c>
      <c r="AN25" s="24">
        <f>Consolidation!AN36</f>
        <v/>
      </c>
      <c r="AO25" s="24">
        <f>Consolidation!AO36</f>
        <v/>
      </c>
      <c r="AP25" s="24">
        <f>Consolidation!AP36</f>
        <v/>
      </c>
      <c r="AQ25" s="24">
        <f>Consolidation!AQ36</f>
        <v/>
      </c>
      <c r="AR25" s="24">
        <f>Consolidation!AR36</f>
        <v/>
      </c>
      <c r="AS25" s="24">
        <f>Consolidation!AS36</f>
        <v/>
      </c>
      <c r="AT25" s="24">
        <f>Consolidation!AT36</f>
        <v/>
      </c>
      <c r="AU25" s="24">
        <f>Consolidation!AU36</f>
        <v/>
      </c>
      <c r="AV25" s="24">
        <f>Consolidation!AV36</f>
        <v/>
      </c>
      <c r="AW25" s="24">
        <f>Consolidation!AW36</f>
        <v/>
      </c>
      <c r="AX25" s="24">
        <f>Consolidation!AX36</f>
        <v/>
      </c>
    </row>
    <row r="26">
      <c r="A26" t="inlineStr">
        <is>
          <t>Cumulative — Target</t>
        </is>
      </c>
      <c r="C26" s="24">
        <f>Consolidation!C38</f>
        <v/>
      </c>
      <c r="D26" s="24">
        <f>Consolidation!D38</f>
        <v/>
      </c>
      <c r="E26" s="24">
        <f>Consolidation!E38</f>
        <v/>
      </c>
      <c r="F26" s="24">
        <f>Consolidation!F38</f>
        <v/>
      </c>
      <c r="G26" s="24">
        <f>Consolidation!G38</f>
        <v/>
      </c>
      <c r="H26" s="24">
        <f>Consolidation!H38</f>
        <v/>
      </c>
      <c r="I26" s="24">
        <f>Consolidation!I38</f>
        <v/>
      </c>
      <c r="J26" s="24">
        <f>Consolidation!J38</f>
        <v/>
      </c>
      <c r="K26" s="24">
        <f>Consolidation!K38</f>
        <v/>
      </c>
      <c r="L26" s="24">
        <f>Consolidation!L38</f>
        <v/>
      </c>
      <c r="M26" s="24">
        <f>Consolidation!M38</f>
        <v/>
      </c>
      <c r="N26" s="24">
        <f>Consolidation!N38</f>
        <v/>
      </c>
      <c r="O26" s="24">
        <f>Consolidation!O38</f>
        <v/>
      </c>
      <c r="P26" s="24">
        <f>Consolidation!P38</f>
        <v/>
      </c>
      <c r="Q26" s="24">
        <f>Consolidation!Q38</f>
        <v/>
      </c>
      <c r="R26" s="24">
        <f>Consolidation!R38</f>
        <v/>
      </c>
      <c r="S26" s="24">
        <f>Consolidation!S38</f>
        <v/>
      </c>
      <c r="T26" s="24">
        <f>Consolidation!T38</f>
        <v/>
      </c>
      <c r="U26" s="24">
        <f>Consolidation!U38</f>
        <v/>
      </c>
      <c r="V26" s="24">
        <f>Consolidation!V38</f>
        <v/>
      </c>
      <c r="W26" s="24">
        <f>Consolidation!W38</f>
        <v/>
      </c>
      <c r="X26" s="24">
        <f>Consolidation!X38</f>
        <v/>
      </c>
      <c r="Y26" s="24">
        <f>Consolidation!Y38</f>
        <v/>
      </c>
      <c r="Z26" s="24">
        <f>Consolidation!Z38</f>
        <v/>
      </c>
      <c r="AA26" s="24">
        <f>Consolidation!AA38</f>
        <v/>
      </c>
      <c r="AB26" s="24">
        <f>Consolidation!AB38</f>
        <v/>
      </c>
      <c r="AC26" s="24">
        <f>Consolidation!AC38</f>
        <v/>
      </c>
      <c r="AD26" s="24">
        <f>Consolidation!AD38</f>
        <v/>
      </c>
      <c r="AE26" s="24">
        <f>Consolidation!AE38</f>
        <v/>
      </c>
      <c r="AF26" s="24">
        <f>Consolidation!AF38</f>
        <v/>
      </c>
      <c r="AG26" s="24">
        <f>Consolidation!AG38</f>
        <v/>
      </c>
      <c r="AH26" s="24">
        <f>Consolidation!AH38</f>
        <v/>
      </c>
      <c r="AI26" s="24">
        <f>Consolidation!AI38</f>
        <v/>
      </c>
      <c r="AJ26" s="24">
        <f>Consolidation!AJ38</f>
        <v/>
      </c>
      <c r="AK26" s="24">
        <f>Consolidation!AK38</f>
        <v/>
      </c>
      <c r="AL26" s="24">
        <f>Consolidation!AL38</f>
        <v/>
      </c>
      <c r="AM26" s="24">
        <f>Consolidation!AM38</f>
        <v/>
      </c>
      <c r="AN26" s="24">
        <f>Consolidation!AN38</f>
        <v/>
      </c>
      <c r="AO26" s="24">
        <f>Consolidation!AO38</f>
        <v/>
      </c>
      <c r="AP26" s="24">
        <f>Consolidation!AP38</f>
        <v/>
      </c>
      <c r="AQ26" s="24">
        <f>Consolidation!AQ38</f>
        <v/>
      </c>
      <c r="AR26" s="24">
        <f>Consolidation!AR38</f>
        <v/>
      </c>
      <c r="AS26" s="24">
        <f>Consolidation!AS38</f>
        <v/>
      </c>
      <c r="AT26" s="24">
        <f>Consolidation!AT38</f>
        <v/>
      </c>
      <c r="AU26" s="24">
        <f>Consolidation!AU38</f>
        <v/>
      </c>
      <c r="AV26" s="24">
        <f>Consolidation!AV38</f>
        <v/>
      </c>
      <c r="AW26" s="24">
        <f>Consolidation!AW38</f>
        <v/>
      </c>
      <c r="AX26" s="24">
        <f>Consolidation!AX38</f>
        <v/>
      </c>
    </row>
    <row r="27">
      <c r="A27" t="inlineStr">
        <is>
          <t>Cumulative — Actual</t>
        </is>
      </c>
      <c r="C27" s="24">
        <f>Consolidation!C39</f>
        <v/>
      </c>
      <c r="D27" s="24">
        <f>Consolidation!D39</f>
        <v/>
      </c>
      <c r="E27" s="24">
        <f>Consolidation!E39</f>
        <v/>
      </c>
      <c r="F27" s="24">
        <f>Consolidation!F39</f>
        <v/>
      </c>
      <c r="G27" s="24">
        <f>Consolidation!G39</f>
        <v/>
      </c>
      <c r="H27" s="24">
        <f>Consolidation!H39</f>
        <v/>
      </c>
      <c r="I27" s="24">
        <f>Consolidation!I39</f>
        <v/>
      </c>
      <c r="J27" s="24">
        <f>Consolidation!J39</f>
        <v/>
      </c>
      <c r="K27" s="24">
        <f>Consolidation!K39</f>
        <v/>
      </c>
      <c r="L27" s="24">
        <f>Consolidation!L39</f>
        <v/>
      </c>
      <c r="M27" s="24">
        <f>Consolidation!M39</f>
        <v/>
      </c>
      <c r="N27" s="24">
        <f>Consolidation!N39</f>
        <v/>
      </c>
      <c r="O27" s="24">
        <f>Consolidation!O39</f>
        <v/>
      </c>
      <c r="P27" s="24">
        <f>Consolidation!P39</f>
        <v/>
      </c>
      <c r="Q27" s="24">
        <f>Consolidation!Q39</f>
        <v/>
      </c>
      <c r="R27" s="24">
        <f>Consolidation!R39</f>
        <v/>
      </c>
      <c r="S27" s="24">
        <f>Consolidation!S39</f>
        <v/>
      </c>
      <c r="T27" s="24">
        <f>Consolidation!T39</f>
        <v/>
      </c>
      <c r="U27" s="24">
        <f>Consolidation!U39</f>
        <v/>
      </c>
      <c r="V27" s="24">
        <f>Consolidation!V39</f>
        <v/>
      </c>
      <c r="W27" s="24">
        <f>Consolidation!W39</f>
        <v/>
      </c>
      <c r="X27" s="24">
        <f>Consolidation!X39</f>
        <v/>
      </c>
      <c r="Y27" s="24">
        <f>Consolidation!Y39</f>
        <v/>
      </c>
      <c r="Z27" s="24">
        <f>Consolidation!Z39</f>
        <v/>
      </c>
      <c r="AA27" s="24">
        <f>Consolidation!AA39</f>
        <v/>
      </c>
      <c r="AB27" s="24">
        <f>Consolidation!AB39</f>
        <v/>
      </c>
      <c r="AC27" s="24">
        <f>Consolidation!AC39</f>
        <v/>
      </c>
      <c r="AD27" s="24">
        <f>Consolidation!AD39</f>
        <v/>
      </c>
      <c r="AE27" s="24">
        <f>Consolidation!AE39</f>
        <v/>
      </c>
      <c r="AF27" s="24">
        <f>Consolidation!AF39</f>
        <v/>
      </c>
      <c r="AG27" s="24">
        <f>Consolidation!AG39</f>
        <v/>
      </c>
      <c r="AH27" s="24">
        <f>Consolidation!AH39</f>
        <v/>
      </c>
      <c r="AI27" s="24">
        <f>Consolidation!AI39</f>
        <v/>
      </c>
      <c r="AJ27" s="24">
        <f>Consolidation!AJ39</f>
        <v/>
      </c>
      <c r="AK27" s="24">
        <f>Consolidation!AK39</f>
        <v/>
      </c>
      <c r="AL27" s="24">
        <f>Consolidation!AL39</f>
        <v/>
      </c>
      <c r="AM27" s="24">
        <f>Consolidation!AM39</f>
        <v/>
      </c>
      <c r="AN27" s="24">
        <f>Consolidation!AN39</f>
        <v/>
      </c>
      <c r="AO27" s="24">
        <f>Consolidation!AO39</f>
        <v/>
      </c>
      <c r="AP27" s="24">
        <f>Consolidation!AP39</f>
        <v/>
      </c>
      <c r="AQ27" s="24">
        <f>Consolidation!AQ39</f>
        <v/>
      </c>
      <c r="AR27" s="24">
        <f>Consolidation!AR39</f>
        <v/>
      </c>
      <c r="AS27" s="24">
        <f>Consolidation!AS39</f>
        <v/>
      </c>
      <c r="AT27" s="24">
        <f>Consolidation!AT39</f>
        <v/>
      </c>
      <c r="AU27" s="24">
        <f>Consolidation!AU39</f>
        <v/>
      </c>
      <c r="AV27" s="24">
        <f>Consolidation!AV39</f>
        <v/>
      </c>
      <c r="AW27" s="24">
        <f>Consolidation!AW39</f>
        <v/>
      </c>
      <c r="AX27" s="24">
        <f>Consolidation!AX39</f>
        <v/>
      </c>
    </row>
    <row r="29">
      <c r="A29" s="8" t="inlineStr">
        <is>
          <t>RAG STATUS BY ORGANIZATION</t>
        </is>
      </c>
    </row>
    <row r="30">
      <c r="A30" s="8">
        <f>Setup!$B$4</f>
        <v/>
      </c>
      <c r="C30" s="30">
        <f>IF('Org_1'!C41="","",'Org_1'!C41)</f>
        <v/>
      </c>
      <c r="D30" s="30">
        <f>IF('Org_1'!D41="","",'Org_1'!D41)</f>
        <v/>
      </c>
      <c r="E30" s="30">
        <f>IF('Org_1'!E41="","",'Org_1'!E41)</f>
        <v/>
      </c>
      <c r="F30" s="30">
        <f>IF('Org_1'!F41="","",'Org_1'!F41)</f>
        <v/>
      </c>
      <c r="G30" s="30">
        <f>IF('Org_1'!G41="","",'Org_1'!G41)</f>
        <v/>
      </c>
      <c r="H30" s="30">
        <f>IF('Org_1'!H41="","",'Org_1'!H41)</f>
        <v/>
      </c>
      <c r="I30" s="30">
        <f>IF('Org_1'!I41="","",'Org_1'!I41)</f>
        <v/>
      </c>
      <c r="J30" s="30">
        <f>IF('Org_1'!J41="","",'Org_1'!J41)</f>
        <v/>
      </c>
      <c r="K30" s="30">
        <f>IF('Org_1'!K41="","",'Org_1'!K41)</f>
        <v/>
      </c>
      <c r="L30" s="30">
        <f>IF('Org_1'!L41="","",'Org_1'!L41)</f>
        <v/>
      </c>
      <c r="M30" s="30">
        <f>IF('Org_1'!M41="","",'Org_1'!M41)</f>
        <v/>
      </c>
      <c r="N30" s="30">
        <f>IF('Org_1'!N41="","",'Org_1'!N41)</f>
        <v/>
      </c>
      <c r="O30" s="30">
        <f>IF('Org_1'!O41="","",'Org_1'!O41)</f>
        <v/>
      </c>
      <c r="P30" s="30">
        <f>IF('Org_1'!P41="","",'Org_1'!P41)</f>
        <v/>
      </c>
      <c r="Q30" s="30">
        <f>IF('Org_1'!Q41="","",'Org_1'!Q41)</f>
        <v/>
      </c>
      <c r="R30" s="30">
        <f>IF('Org_1'!R41="","",'Org_1'!R41)</f>
        <v/>
      </c>
      <c r="S30" s="30">
        <f>IF('Org_1'!S41="","",'Org_1'!S41)</f>
        <v/>
      </c>
      <c r="T30" s="30">
        <f>IF('Org_1'!T41="","",'Org_1'!T41)</f>
        <v/>
      </c>
      <c r="U30" s="30">
        <f>IF('Org_1'!U41="","",'Org_1'!U41)</f>
        <v/>
      </c>
      <c r="V30" s="30">
        <f>IF('Org_1'!V41="","",'Org_1'!V41)</f>
        <v/>
      </c>
      <c r="W30" s="30">
        <f>IF('Org_1'!W41="","",'Org_1'!W41)</f>
        <v/>
      </c>
      <c r="X30" s="30">
        <f>IF('Org_1'!X41="","",'Org_1'!X41)</f>
        <v/>
      </c>
      <c r="Y30" s="30">
        <f>IF('Org_1'!Y41="","",'Org_1'!Y41)</f>
        <v/>
      </c>
      <c r="Z30" s="30">
        <f>IF('Org_1'!Z41="","",'Org_1'!Z41)</f>
        <v/>
      </c>
      <c r="AA30" s="30">
        <f>IF('Org_1'!AA41="","",'Org_1'!AA41)</f>
        <v/>
      </c>
      <c r="AB30" s="30">
        <f>IF('Org_1'!AB41="","",'Org_1'!AB41)</f>
        <v/>
      </c>
      <c r="AC30" s="30">
        <f>IF('Org_1'!AC41="","",'Org_1'!AC41)</f>
        <v/>
      </c>
      <c r="AD30" s="30">
        <f>IF('Org_1'!AD41="","",'Org_1'!AD41)</f>
        <v/>
      </c>
      <c r="AE30" s="30">
        <f>IF('Org_1'!AE41="","",'Org_1'!AE41)</f>
        <v/>
      </c>
      <c r="AF30" s="30">
        <f>IF('Org_1'!AF41="","",'Org_1'!AF41)</f>
        <v/>
      </c>
      <c r="AG30" s="30">
        <f>IF('Org_1'!AG41="","",'Org_1'!AG41)</f>
        <v/>
      </c>
      <c r="AH30" s="30">
        <f>IF('Org_1'!AH41="","",'Org_1'!AH41)</f>
        <v/>
      </c>
      <c r="AI30" s="30">
        <f>IF('Org_1'!AI41="","",'Org_1'!AI41)</f>
        <v/>
      </c>
      <c r="AJ30" s="30">
        <f>IF('Org_1'!AJ41="","",'Org_1'!AJ41)</f>
        <v/>
      </c>
      <c r="AK30" s="30">
        <f>IF('Org_1'!AK41="","",'Org_1'!AK41)</f>
        <v/>
      </c>
      <c r="AL30" s="30">
        <f>IF('Org_1'!AL41="","",'Org_1'!AL41)</f>
        <v/>
      </c>
      <c r="AM30" s="30">
        <f>IF('Org_1'!AM41="","",'Org_1'!AM41)</f>
        <v/>
      </c>
      <c r="AN30" s="30">
        <f>IF('Org_1'!AN41="","",'Org_1'!AN41)</f>
        <v/>
      </c>
      <c r="AO30" s="30">
        <f>IF('Org_1'!AO41="","",'Org_1'!AO41)</f>
        <v/>
      </c>
      <c r="AP30" s="30">
        <f>IF('Org_1'!AP41="","",'Org_1'!AP41)</f>
        <v/>
      </c>
      <c r="AQ30" s="30">
        <f>IF('Org_1'!AQ41="","",'Org_1'!AQ41)</f>
        <v/>
      </c>
      <c r="AR30" s="30">
        <f>IF('Org_1'!AR41="","",'Org_1'!AR41)</f>
        <v/>
      </c>
      <c r="AS30" s="30">
        <f>IF('Org_1'!AS41="","",'Org_1'!AS41)</f>
        <v/>
      </c>
      <c r="AT30" s="30">
        <f>IF('Org_1'!AT41="","",'Org_1'!AT41)</f>
        <v/>
      </c>
      <c r="AU30" s="30">
        <f>IF('Org_1'!AU41="","",'Org_1'!AU41)</f>
        <v/>
      </c>
      <c r="AV30" s="30">
        <f>IF('Org_1'!AV41="","",'Org_1'!AV41)</f>
        <v/>
      </c>
      <c r="AW30" s="30">
        <f>IF('Org_1'!AW41="","",'Org_1'!AW41)</f>
        <v/>
      </c>
      <c r="AX30" s="30">
        <f>IF('Org_1'!AX41="","",'Org_1'!AX41)</f>
        <v/>
      </c>
    </row>
    <row r="31">
      <c r="A31" s="8">
        <f>Setup!$B$5</f>
        <v/>
      </c>
      <c r="C31" s="30">
        <f>IF('Org_2'!C41="","",'Org_2'!C41)</f>
        <v/>
      </c>
      <c r="D31" s="30">
        <f>IF('Org_2'!D41="","",'Org_2'!D41)</f>
        <v/>
      </c>
      <c r="E31" s="30">
        <f>IF('Org_2'!E41="","",'Org_2'!E41)</f>
        <v/>
      </c>
      <c r="F31" s="30">
        <f>IF('Org_2'!F41="","",'Org_2'!F41)</f>
        <v/>
      </c>
      <c r="G31" s="30">
        <f>IF('Org_2'!G41="","",'Org_2'!G41)</f>
        <v/>
      </c>
      <c r="H31" s="30">
        <f>IF('Org_2'!H41="","",'Org_2'!H41)</f>
        <v/>
      </c>
      <c r="I31" s="30">
        <f>IF('Org_2'!I41="","",'Org_2'!I41)</f>
        <v/>
      </c>
      <c r="J31" s="30">
        <f>IF('Org_2'!J41="","",'Org_2'!J41)</f>
        <v/>
      </c>
      <c r="K31" s="30">
        <f>IF('Org_2'!K41="","",'Org_2'!K41)</f>
        <v/>
      </c>
      <c r="L31" s="30">
        <f>IF('Org_2'!L41="","",'Org_2'!L41)</f>
        <v/>
      </c>
      <c r="M31" s="30">
        <f>IF('Org_2'!M41="","",'Org_2'!M41)</f>
        <v/>
      </c>
      <c r="N31" s="30">
        <f>IF('Org_2'!N41="","",'Org_2'!N41)</f>
        <v/>
      </c>
      <c r="O31" s="30">
        <f>IF('Org_2'!O41="","",'Org_2'!O41)</f>
        <v/>
      </c>
      <c r="P31" s="30">
        <f>IF('Org_2'!P41="","",'Org_2'!P41)</f>
        <v/>
      </c>
      <c r="Q31" s="30">
        <f>IF('Org_2'!Q41="","",'Org_2'!Q41)</f>
        <v/>
      </c>
      <c r="R31" s="30">
        <f>IF('Org_2'!R41="","",'Org_2'!R41)</f>
        <v/>
      </c>
      <c r="S31" s="30">
        <f>IF('Org_2'!S41="","",'Org_2'!S41)</f>
        <v/>
      </c>
      <c r="T31" s="30">
        <f>IF('Org_2'!T41="","",'Org_2'!T41)</f>
        <v/>
      </c>
      <c r="U31" s="30">
        <f>IF('Org_2'!U41="","",'Org_2'!U41)</f>
        <v/>
      </c>
      <c r="V31" s="30">
        <f>IF('Org_2'!V41="","",'Org_2'!V41)</f>
        <v/>
      </c>
      <c r="W31" s="30">
        <f>IF('Org_2'!W41="","",'Org_2'!W41)</f>
        <v/>
      </c>
      <c r="X31" s="30">
        <f>IF('Org_2'!X41="","",'Org_2'!X41)</f>
        <v/>
      </c>
      <c r="Y31" s="30">
        <f>IF('Org_2'!Y41="","",'Org_2'!Y41)</f>
        <v/>
      </c>
      <c r="Z31" s="30">
        <f>IF('Org_2'!Z41="","",'Org_2'!Z41)</f>
        <v/>
      </c>
      <c r="AA31" s="30">
        <f>IF('Org_2'!AA41="","",'Org_2'!AA41)</f>
        <v/>
      </c>
      <c r="AB31" s="30">
        <f>IF('Org_2'!AB41="","",'Org_2'!AB41)</f>
        <v/>
      </c>
      <c r="AC31" s="30">
        <f>IF('Org_2'!AC41="","",'Org_2'!AC41)</f>
        <v/>
      </c>
      <c r="AD31" s="30">
        <f>IF('Org_2'!AD41="","",'Org_2'!AD41)</f>
        <v/>
      </c>
      <c r="AE31" s="30">
        <f>IF('Org_2'!AE41="","",'Org_2'!AE41)</f>
        <v/>
      </c>
      <c r="AF31" s="30">
        <f>IF('Org_2'!AF41="","",'Org_2'!AF41)</f>
        <v/>
      </c>
      <c r="AG31" s="30">
        <f>IF('Org_2'!AG41="","",'Org_2'!AG41)</f>
        <v/>
      </c>
      <c r="AH31" s="30">
        <f>IF('Org_2'!AH41="","",'Org_2'!AH41)</f>
        <v/>
      </c>
      <c r="AI31" s="30">
        <f>IF('Org_2'!AI41="","",'Org_2'!AI41)</f>
        <v/>
      </c>
      <c r="AJ31" s="30">
        <f>IF('Org_2'!AJ41="","",'Org_2'!AJ41)</f>
        <v/>
      </c>
      <c r="AK31" s="30">
        <f>IF('Org_2'!AK41="","",'Org_2'!AK41)</f>
        <v/>
      </c>
      <c r="AL31" s="30">
        <f>IF('Org_2'!AL41="","",'Org_2'!AL41)</f>
        <v/>
      </c>
      <c r="AM31" s="30">
        <f>IF('Org_2'!AM41="","",'Org_2'!AM41)</f>
        <v/>
      </c>
      <c r="AN31" s="30">
        <f>IF('Org_2'!AN41="","",'Org_2'!AN41)</f>
        <v/>
      </c>
      <c r="AO31" s="30">
        <f>IF('Org_2'!AO41="","",'Org_2'!AO41)</f>
        <v/>
      </c>
      <c r="AP31" s="30">
        <f>IF('Org_2'!AP41="","",'Org_2'!AP41)</f>
        <v/>
      </c>
      <c r="AQ31" s="30">
        <f>IF('Org_2'!AQ41="","",'Org_2'!AQ41)</f>
        <v/>
      </c>
      <c r="AR31" s="30">
        <f>IF('Org_2'!AR41="","",'Org_2'!AR41)</f>
        <v/>
      </c>
      <c r="AS31" s="30">
        <f>IF('Org_2'!AS41="","",'Org_2'!AS41)</f>
        <v/>
      </c>
      <c r="AT31" s="30">
        <f>IF('Org_2'!AT41="","",'Org_2'!AT41)</f>
        <v/>
      </c>
      <c r="AU31" s="30">
        <f>IF('Org_2'!AU41="","",'Org_2'!AU41)</f>
        <v/>
      </c>
      <c r="AV31" s="30">
        <f>IF('Org_2'!AV41="","",'Org_2'!AV41)</f>
        <v/>
      </c>
      <c r="AW31" s="30">
        <f>IF('Org_2'!AW41="","",'Org_2'!AW41)</f>
        <v/>
      </c>
      <c r="AX31" s="30">
        <f>IF('Org_2'!AX41="","",'Org_2'!AX41)</f>
        <v/>
      </c>
    </row>
    <row r="32">
      <c r="A32" s="8">
        <f>Setup!$B$6</f>
        <v/>
      </c>
      <c r="C32" s="30">
        <f>IF('Org_3'!C41="","",'Org_3'!C41)</f>
        <v/>
      </c>
      <c r="D32" s="30">
        <f>IF('Org_3'!D41="","",'Org_3'!D41)</f>
        <v/>
      </c>
      <c r="E32" s="30">
        <f>IF('Org_3'!E41="","",'Org_3'!E41)</f>
        <v/>
      </c>
      <c r="F32" s="30">
        <f>IF('Org_3'!F41="","",'Org_3'!F41)</f>
        <v/>
      </c>
      <c r="G32" s="30">
        <f>IF('Org_3'!G41="","",'Org_3'!G41)</f>
        <v/>
      </c>
      <c r="H32" s="30">
        <f>IF('Org_3'!H41="","",'Org_3'!H41)</f>
        <v/>
      </c>
      <c r="I32" s="30">
        <f>IF('Org_3'!I41="","",'Org_3'!I41)</f>
        <v/>
      </c>
      <c r="J32" s="30">
        <f>IF('Org_3'!J41="","",'Org_3'!J41)</f>
        <v/>
      </c>
      <c r="K32" s="30">
        <f>IF('Org_3'!K41="","",'Org_3'!K41)</f>
        <v/>
      </c>
      <c r="L32" s="30">
        <f>IF('Org_3'!L41="","",'Org_3'!L41)</f>
        <v/>
      </c>
      <c r="M32" s="30">
        <f>IF('Org_3'!M41="","",'Org_3'!M41)</f>
        <v/>
      </c>
      <c r="N32" s="30">
        <f>IF('Org_3'!N41="","",'Org_3'!N41)</f>
        <v/>
      </c>
      <c r="O32" s="30">
        <f>IF('Org_3'!O41="","",'Org_3'!O41)</f>
        <v/>
      </c>
      <c r="P32" s="30">
        <f>IF('Org_3'!P41="","",'Org_3'!P41)</f>
        <v/>
      </c>
      <c r="Q32" s="30">
        <f>IF('Org_3'!Q41="","",'Org_3'!Q41)</f>
        <v/>
      </c>
      <c r="R32" s="30">
        <f>IF('Org_3'!R41="","",'Org_3'!R41)</f>
        <v/>
      </c>
      <c r="S32" s="30">
        <f>IF('Org_3'!S41="","",'Org_3'!S41)</f>
        <v/>
      </c>
      <c r="T32" s="30">
        <f>IF('Org_3'!T41="","",'Org_3'!T41)</f>
        <v/>
      </c>
      <c r="U32" s="30">
        <f>IF('Org_3'!U41="","",'Org_3'!U41)</f>
        <v/>
      </c>
      <c r="V32" s="30">
        <f>IF('Org_3'!V41="","",'Org_3'!V41)</f>
        <v/>
      </c>
      <c r="W32" s="30">
        <f>IF('Org_3'!W41="","",'Org_3'!W41)</f>
        <v/>
      </c>
      <c r="X32" s="30">
        <f>IF('Org_3'!X41="","",'Org_3'!X41)</f>
        <v/>
      </c>
      <c r="Y32" s="30">
        <f>IF('Org_3'!Y41="","",'Org_3'!Y41)</f>
        <v/>
      </c>
      <c r="Z32" s="30">
        <f>IF('Org_3'!Z41="","",'Org_3'!Z41)</f>
        <v/>
      </c>
      <c r="AA32" s="30">
        <f>IF('Org_3'!AA41="","",'Org_3'!AA41)</f>
        <v/>
      </c>
      <c r="AB32" s="30">
        <f>IF('Org_3'!AB41="","",'Org_3'!AB41)</f>
        <v/>
      </c>
      <c r="AC32" s="30">
        <f>IF('Org_3'!AC41="","",'Org_3'!AC41)</f>
        <v/>
      </c>
      <c r="AD32" s="30">
        <f>IF('Org_3'!AD41="","",'Org_3'!AD41)</f>
        <v/>
      </c>
      <c r="AE32" s="30">
        <f>IF('Org_3'!AE41="","",'Org_3'!AE41)</f>
        <v/>
      </c>
      <c r="AF32" s="30">
        <f>IF('Org_3'!AF41="","",'Org_3'!AF41)</f>
        <v/>
      </c>
      <c r="AG32" s="30">
        <f>IF('Org_3'!AG41="","",'Org_3'!AG41)</f>
        <v/>
      </c>
      <c r="AH32" s="30">
        <f>IF('Org_3'!AH41="","",'Org_3'!AH41)</f>
        <v/>
      </c>
      <c r="AI32" s="30">
        <f>IF('Org_3'!AI41="","",'Org_3'!AI41)</f>
        <v/>
      </c>
      <c r="AJ32" s="30">
        <f>IF('Org_3'!AJ41="","",'Org_3'!AJ41)</f>
        <v/>
      </c>
      <c r="AK32" s="30">
        <f>IF('Org_3'!AK41="","",'Org_3'!AK41)</f>
        <v/>
      </c>
      <c r="AL32" s="30">
        <f>IF('Org_3'!AL41="","",'Org_3'!AL41)</f>
        <v/>
      </c>
      <c r="AM32" s="30">
        <f>IF('Org_3'!AM41="","",'Org_3'!AM41)</f>
        <v/>
      </c>
      <c r="AN32" s="30">
        <f>IF('Org_3'!AN41="","",'Org_3'!AN41)</f>
        <v/>
      </c>
      <c r="AO32" s="30">
        <f>IF('Org_3'!AO41="","",'Org_3'!AO41)</f>
        <v/>
      </c>
      <c r="AP32" s="30">
        <f>IF('Org_3'!AP41="","",'Org_3'!AP41)</f>
        <v/>
      </c>
      <c r="AQ32" s="30">
        <f>IF('Org_3'!AQ41="","",'Org_3'!AQ41)</f>
        <v/>
      </c>
      <c r="AR32" s="30">
        <f>IF('Org_3'!AR41="","",'Org_3'!AR41)</f>
        <v/>
      </c>
      <c r="AS32" s="30">
        <f>IF('Org_3'!AS41="","",'Org_3'!AS41)</f>
        <v/>
      </c>
      <c r="AT32" s="30">
        <f>IF('Org_3'!AT41="","",'Org_3'!AT41)</f>
        <v/>
      </c>
      <c r="AU32" s="30">
        <f>IF('Org_3'!AU41="","",'Org_3'!AU41)</f>
        <v/>
      </c>
      <c r="AV32" s="30">
        <f>IF('Org_3'!AV41="","",'Org_3'!AV41)</f>
        <v/>
      </c>
      <c r="AW32" s="30">
        <f>IF('Org_3'!AW41="","",'Org_3'!AW41)</f>
        <v/>
      </c>
      <c r="AX32" s="30">
        <f>IF('Org_3'!AX41="","",'Org_3'!AX41)</f>
        <v/>
      </c>
    </row>
    <row r="33">
      <c r="A33" s="8">
        <f>Setup!$B$7</f>
        <v/>
      </c>
      <c r="C33" s="30">
        <f>IF('Org_4'!C41="","",'Org_4'!C41)</f>
        <v/>
      </c>
      <c r="D33" s="30">
        <f>IF('Org_4'!D41="","",'Org_4'!D41)</f>
        <v/>
      </c>
      <c r="E33" s="30">
        <f>IF('Org_4'!E41="","",'Org_4'!E41)</f>
        <v/>
      </c>
      <c r="F33" s="30">
        <f>IF('Org_4'!F41="","",'Org_4'!F41)</f>
        <v/>
      </c>
      <c r="G33" s="30">
        <f>IF('Org_4'!G41="","",'Org_4'!G41)</f>
        <v/>
      </c>
      <c r="H33" s="30">
        <f>IF('Org_4'!H41="","",'Org_4'!H41)</f>
        <v/>
      </c>
      <c r="I33" s="30">
        <f>IF('Org_4'!I41="","",'Org_4'!I41)</f>
        <v/>
      </c>
      <c r="J33" s="30">
        <f>IF('Org_4'!J41="","",'Org_4'!J41)</f>
        <v/>
      </c>
      <c r="K33" s="30">
        <f>IF('Org_4'!K41="","",'Org_4'!K41)</f>
        <v/>
      </c>
      <c r="L33" s="30">
        <f>IF('Org_4'!L41="","",'Org_4'!L41)</f>
        <v/>
      </c>
      <c r="M33" s="30">
        <f>IF('Org_4'!M41="","",'Org_4'!M41)</f>
        <v/>
      </c>
      <c r="N33" s="30">
        <f>IF('Org_4'!N41="","",'Org_4'!N41)</f>
        <v/>
      </c>
      <c r="O33" s="30">
        <f>IF('Org_4'!O41="","",'Org_4'!O41)</f>
        <v/>
      </c>
      <c r="P33" s="30">
        <f>IF('Org_4'!P41="","",'Org_4'!P41)</f>
        <v/>
      </c>
      <c r="Q33" s="30">
        <f>IF('Org_4'!Q41="","",'Org_4'!Q41)</f>
        <v/>
      </c>
      <c r="R33" s="30">
        <f>IF('Org_4'!R41="","",'Org_4'!R41)</f>
        <v/>
      </c>
      <c r="S33" s="30">
        <f>IF('Org_4'!S41="","",'Org_4'!S41)</f>
        <v/>
      </c>
      <c r="T33" s="30">
        <f>IF('Org_4'!T41="","",'Org_4'!T41)</f>
        <v/>
      </c>
      <c r="U33" s="30">
        <f>IF('Org_4'!U41="","",'Org_4'!U41)</f>
        <v/>
      </c>
      <c r="V33" s="30">
        <f>IF('Org_4'!V41="","",'Org_4'!V41)</f>
        <v/>
      </c>
      <c r="W33" s="30">
        <f>IF('Org_4'!W41="","",'Org_4'!W41)</f>
        <v/>
      </c>
      <c r="X33" s="30">
        <f>IF('Org_4'!X41="","",'Org_4'!X41)</f>
        <v/>
      </c>
      <c r="Y33" s="30">
        <f>IF('Org_4'!Y41="","",'Org_4'!Y41)</f>
        <v/>
      </c>
      <c r="Z33" s="30">
        <f>IF('Org_4'!Z41="","",'Org_4'!Z41)</f>
        <v/>
      </c>
      <c r="AA33" s="30">
        <f>IF('Org_4'!AA41="","",'Org_4'!AA41)</f>
        <v/>
      </c>
      <c r="AB33" s="30">
        <f>IF('Org_4'!AB41="","",'Org_4'!AB41)</f>
        <v/>
      </c>
      <c r="AC33" s="30">
        <f>IF('Org_4'!AC41="","",'Org_4'!AC41)</f>
        <v/>
      </c>
      <c r="AD33" s="30">
        <f>IF('Org_4'!AD41="","",'Org_4'!AD41)</f>
        <v/>
      </c>
      <c r="AE33" s="30">
        <f>IF('Org_4'!AE41="","",'Org_4'!AE41)</f>
        <v/>
      </c>
      <c r="AF33" s="30">
        <f>IF('Org_4'!AF41="","",'Org_4'!AF41)</f>
        <v/>
      </c>
      <c r="AG33" s="30">
        <f>IF('Org_4'!AG41="","",'Org_4'!AG41)</f>
        <v/>
      </c>
      <c r="AH33" s="30">
        <f>IF('Org_4'!AH41="","",'Org_4'!AH41)</f>
        <v/>
      </c>
      <c r="AI33" s="30">
        <f>IF('Org_4'!AI41="","",'Org_4'!AI41)</f>
        <v/>
      </c>
      <c r="AJ33" s="30">
        <f>IF('Org_4'!AJ41="","",'Org_4'!AJ41)</f>
        <v/>
      </c>
      <c r="AK33" s="30">
        <f>IF('Org_4'!AK41="","",'Org_4'!AK41)</f>
        <v/>
      </c>
      <c r="AL33" s="30">
        <f>IF('Org_4'!AL41="","",'Org_4'!AL41)</f>
        <v/>
      </c>
      <c r="AM33" s="30">
        <f>IF('Org_4'!AM41="","",'Org_4'!AM41)</f>
        <v/>
      </c>
      <c r="AN33" s="30">
        <f>IF('Org_4'!AN41="","",'Org_4'!AN41)</f>
        <v/>
      </c>
      <c r="AO33" s="30">
        <f>IF('Org_4'!AO41="","",'Org_4'!AO41)</f>
        <v/>
      </c>
      <c r="AP33" s="30">
        <f>IF('Org_4'!AP41="","",'Org_4'!AP41)</f>
        <v/>
      </c>
      <c r="AQ33" s="30">
        <f>IF('Org_4'!AQ41="","",'Org_4'!AQ41)</f>
        <v/>
      </c>
      <c r="AR33" s="30">
        <f>IF('Org_4'!AR41="","",'Org_4'!AR41)</f>
        <v/>
      </c>
      <c r="AS33" s="30">
        <f>IF('Org_4'!AS41="","",'Org_4'!AS41)</f>
        <v/>
      </c>
      <c r="AT33" s="30">
        <f>IF('Org_4'!AT41="","",'Org_4'!AT41)</f>
        <v/>
      </c>
      <c r="AU33" s="30">
        <f>IF('Org_4'!AU41="","",'Org_4'!AU41)</f>
        <v/>
      </c>
      <c r="AV33" s="30">
        <f>IF('Org_4'!AV41="","",'Org_4'!AV41)</f>
        <v/>
      </c>
      <c r="AW33" s="30">
        <f>IF('Org_4'!AW41="","",'Org_4'!AW41)</f>
        <v/>
      </c>
      <c r="AX33" s="30">
        <f>IF('Org_4'!AX41="","",'Org_4'!AX41)</f>
        <v/>
      </c>
    </row>
    <row r="34">
      <c r="A34" s="8">
        <f>Setup!$B$8</f>
        <v/>
      </c>
      <c r="C34" s="30">
        <f>IF('Org_5'!C41="","",'Org_5'!C41)</f>
        <v/>
      </c>
      <c r="D34" s="30">
        <f>IF('Org_5'!D41="","",'Org_5'!D41)</f>
        <v/>
      </c>
      <c r="E34" s="30">
        <f>IF('Org_5'!E41="","",'Org_5'!E41)</f>
        <v/>
      </c>
      <c r="F34" s="30">
        <f>IF('Org_5'!F41="","",'Org_5'!F41)</f>
        <v/>
      </c>
      <c r="G34" s="30">
        <f>IF('Org_5'!G41="","",'Org_5'!G41)</f>
        <v/>
      </c>
      <c r="H34" s="30">
        <f>IF('Org_5'!H41="","",'Org_5'!H41)</f>
        <v/>
      </c>
      <c r="I34" s="30">
        <f>IF('Org_5'!I41="","",'Org_5'!I41)</f>
        <v/>
      </c>
      <c r="J34" s="30">
        <f>IF('Org_5'!J41="","",'Org_5'!J41)</f>
        <v/>
      </c>
      <c r="K34" s="30">
        <f>IF('Org_5'!K41="","",'Org_5'!K41)</f>
        <v/>
      </c>
      <c r="L34" s="30">
        <f>IF('Org_5'!L41="","",'Org_5'!L41)</f>
        <v/>
      </c>
      <c r="M34" s="30">
        <f>IF('Org_5'!M41="","",'Org_5'!M41)</f>
        <v/>
      </c>
      <c r="N34" s="30">
        <f>IF('Org_5'!N41="","",'Org_5'!N41)</f>
        <v/>
      </c>
      <c r="O34" s="30">
        <f>IF('Org_5'!O41="","",'Org_5'!O41)</f>
        <v/>
      </c>
      <c r="P34" s="30">
        <f>IF('Org_5'!P41="","",'Org_5'!P41)</f>
        <v/>
      </c>
      <c r="Q34" s="30">
        <f>IF('Org_5'!Q41="","",'Org_5'!Q41)</f>
        <v/>
      </c>
      <c r="R34" s="30">
        <f>IF('Org_5'!R41="","",'Org_5'!R41)</f>
        <v/>
      </c>
      <c r="S34" s="30">
        <f>IF('Org_5'!S41="","",'Org_5'!S41)</f>
        <v/>
      </c>
      <c r="T34" s="30">
        <f>IF('Org_5'!T41="","",'Org_5'!T41)</f>
        <v/>
      </c>
      <c r="U34" s="30">
        <f>IF('Org_5'!U41="","",'Org_5'!U41)</f>
        <v/>
      </c>
      <c r="V34" s="30">
        <f>IF('Org_5'!V41="","",'Org_5'!V41)</f>
        <v/>
      </c>
      <c r="W34" s="30">
        <f>IF('Org_5'!W41="","",'Org_5'!W41)</f>
        <v/>
      </c>
      <c r="X34" s="30">
        <f>IF('Org_5'!X41="","",'Org_5'!X41)</f>
        <v/>
      </c>
      <c r="Y34" s="30">
        <f>IF('Org_5'!Y41="","",'Org_5'!Y41)</f>
        <v/>
      </c>
      <c r="Z34" s="30">
        <f>IF('Org_5'!Z41="","",'Org_5'!Z41)</f>
        <v/>
      </c>
      <c r="AA34" s="30">
        <f>IF('Org_5'!AA41="","",'Org_5'!AA41)</f>
        <v/>
      </c>
      <c r="AB34" s="30">
        <f>IF('Org_5'!AB41="","",'Org_5'!AB41)</f>
        <v/>
      </c>
      <c r="AC34" s="30">
        <f>IF('Org_5'!AC41="","",'Org_5'!AC41)</f>
        <v/>
      </c>
      <c r="AD34" s="30">
        <f>IF('Org_5'!AD41="","",'Org_5'!AD41)</f>
        <v/>
      </c>
      <c r="AE34" s="30">
        <f>IF('Org_5'!AE41="","",'Org_5'!AE41)</f>
        <v/>
      </c>
      <c r="AF34" s="30">
        <f>IF('Org_5'!AF41="","",'Org_5'!AF41)</f>
        <v/>
      </c>
      <c r="AG34" s="30">
        <f>IF('Org_5'!AG41="","",'Org_5'!AG41)</f>
        <v/>
      </c>
      <c r="AH34" s="30">
        <f>IF('Org_5'!AH41="","",'Org_5'!AH41)</f>
        <v/>
      </c>
      <c r="AI34" s="30">
        <f>IF('Org_5'!AI41="","",'Org_5'!AI41)</f>
        <v/>
      </c>
      <c r="AJ34" s="30">
        <f>IF('Org_5'!AJ41="","",'Org_5'!AJ41)</f>
        <v/>
      </c>
      <c r="AK34" s="30">
        <f>IF('Org_5'!AK41="","",'Org_5'!AK41)</f>
        <v/>
      </c>
      <c r="AL34" s="30">
        <f>IF('Org_5'!AL41="","",'Org_5'!AL41)</f>
        <v/>
      </c>
      <c r="AM34" s="30">
        <f>IF('Org_5'!AM41="","",'Org_5'!AM41)</f>
        <v/>
      </c>
      <c r="AN34" s="30">
        <f>IF('Org_5'!AN41="","",'Org_5'!AN41)</f>
        <v/>
      </c>
      <c r="AO34" s="30">
        <f>IF('Org_5'!AO41="","",'Org_5'!AO41)</f>
        <v/>
      </c>
      <c r="AP34" s="30">
        <f>IF('Org_5'!AP41="","",'Org_5'!AP41)</f>
        <v/>
      </c>
      <c r="AQ34" s="30">
        <f>IF('Org_5'!AQ41="","",'Org_5'!AQ41)</f>
        <v/>
      </c>
      <c r="AR34" s="30">
        <f>IF('Org_5'!AR41="","",'Org_5'!AR41)</f>
        <v/>
      </c>
      <c r="AS34" s="30">
        <f>IF('Org_5'!AS41="","",'Org_5'!AS41)</f>
        <v/>
      </c>
      <c r="AT34" s="30">
        <f>IF('Org_5'!AT41="","",'Org_5'!AT41)</f>
        <v/>
      </c>
      <c r="AU34" s="30">
        <f>IF('Org_5'!AU41="","",'Org_5'!AU41)</f>
        <v/>
      </c>
      <c r="AV34" s="30">
        <f>IF('Org_5'!AV41="","",'Org_5'!AV41)</f>
        <v/>
      </c>
      <c r="AW34" s="30">
        <f>IF('Org_5'!AW41="","",'Org_5'!AW41)</f>
        <v/>
      </c>
      <c r="AX34" s="30">
        <f>IF('Org_5'!AX41="","",'Org_5'!AX41)</f>
        <v/>
      </c>
    </row>
    <row r="35">
      <c r="A35" s="8">
        <f>Setup!$B$9</f>
        <v/>
      </c>
      <c r="C35" s="30">
        <f>IF('Org_6'!C41="","",'Org_6'!C41)</f>
        <v/>
      </c>
      <c r="D35" s="30">
        <f>IF('Org_6'!D41="","",'Org_6'!D41)</f>
        <v/>
      </c>
      <c r="E35" s="30">
        <f>IF('Org_6'!E41="","",'Org_6'!E41)</f>
        <v/>
      </c>
      <c r="F35" s="30">
        <f>IF('Org_6'!F41="","",'Org_6'!F41)</f>
        <v/>
      </c>
      <c r="G35" s="30">
        <f>IF('Org_6'!G41="","",'Org_6'!G41)</f>
        <v/>
      </c>
      <c r="H35" s="30">
        <f>IF('Org_6'!H41="","",'Org_6'!H41)</f>
        <v/>
      </c>
      <c r="I35" s="30">
        <f>IF('Org_6'!I41="","",'Org_6'!I41)</f>
        <v/>
      </c>
      <c r="J35" s="30">
        <f>IF('Org_6'!J41="","",'Org_6'!J41)</f>
        <v/>
      </c>
      <c r="K35" s="30">
        <f>IF('Org_6'!K41="","",'Org_6'!K41)</f>
        <v/>
      </c>
      <c r="L35" s="30">
        <f>IF('Org_6'!L41="","",'Org_6'!L41)</f>
        <v/>
      </c>
      <c r="M35" s="30">
        <f>IF('Org_6'!M41="","",'Org_6'!M41)</f>
        <v/>
      </c>
      <c r="N35" s="30">
        <f>IF('Org_6'!N41="","",'Org_6'!N41)</f>
        <v/>
      </c>
      <c r="O35" s="30">
        <f>IF('Org_6'!O41="","",'Org_6'!O41)</f>
        <v/>
      </c>
      <c r="P35" s="30">
        <f>IF('Org_6'!P41="","",'Org_6'!P41)</f>
        <v/>
      </c>
      <c r="Q35" s="30">
        <f>IF('Org_6'!Q41="","",'Org_6'!Q41)</f>
        <v/>
      </c>
      <c r="R35" s="30">
        <f>IF('Org_6'!R41="","",'Org_6'!R41)</f>
        <v/>
      </c>
      <c r="S35" s="30">
        <f>IF('Org_6'!S41="","",'Org_6'!S41)</f>
        <v/>
      </c>
      <c r="T35" s="30">
        <f>IF('Org_6'!T41="","",'Org_6'!T41)</f>
        <v/>
      </c>
      <c r="U35" s="30">
        <f>IF('Org_6'!U41="","",'Org_6'!U41)</f>
        <v/>
      </c>
      <c r="V35" s="30">
        <f>IF('Org_6'!V41="","",'Org_6'!V41)</f>
        <v/>
      </c>
      <c r="W35" s="30">
        <f>IF('Org_6'!W41="","",'Org_6'!W41)</f>
        <v/>
      </c>
      <c r="X35" s="30">
        <f>IF('Org_6'!X41="","",'Org_6'!X41)</f>
        <v/>
      </c>
      <c r="Y35" s="30">
        <f>IF('Org_6'!Y41="","",'Org_6'!Y41)</f>
        <v/>
      </c>
      <c r="Z35" s="30">
        <f>IF('Org_6'!Z41="","",'Org_6'!Z41)</f>
        <v/>
      </c>
      <c r="AA35" s="30">
        <f>IF('Org_6'!AA41="","",'Org_6'!AA41)</f>
        <v/>
      </c>
      <c r="AB35" s="30">
        <f>IF('Org_6'!AB41="","",'Org_6'!AB41)</f>
        <v/>
      </c>
      <c r="AC35" s="30">
        <f>IF('Org_6'!AC41="","",'Org_6'!AC41)</f>
        <v/>
      </c>
      <c r="AD35" s="30">
        <f>IF('Org_6'!AD41="","",'Org_6'!AD41)</f>
        <v/>
      </c>
      <c r="AE35" s="30">
        <f>IF('Org_6'!AE41="","",'Org_6'!AE41)</f>
        <v/>
      </c>
      <c r="AF35" s="30">
        <f>IF('Org_6'!AF41="","",'Org_6'!AF41)</f>
        <v/>
      </c>
      <c r="AG35" s="30">
        <f>IF('Org_6'!AG41="","",'Org_6'!AG41)</f>
        <v/>
      </c>
      <c r="AH35" s="30">
        <f>IF('Org_6'!AH41="","",'Org_6'!AH41)</f>
        <v/>
      </c>
      <c r="AI35" s="30">
        <f>IF('Org_6'!AI41="","",'Org_6'!AI41)</f>
        <v/>
      </c>
      <c r="AJ35" s="30">
        <f>IF('Org_6'!AJ41="","",'Org_6'!AJ41)</f>
        <v/>
      </c>
      <c r="AK35" s="30">
        <f>IF('Org_6'!AK41="","",'Org_6'!AK41)</f>
        <v/>
      </c>
      <c r="AL35" s="30">
        <f>IF('Org_6'!AL41="","",'Org_6'!AL41)</f>
        <v/>
      </c>
      <c r="AM35" s="30">
        <f>IF('Org_6'!AM41="","",'Org_6'!AM41)</f>
        <v/>
      </c>
      <c r="AN35" s="30">
        <f>IF('Org_6'!AN41="","",'Org_6'!AN41)</f>
        <v/>
      </c>
      <c r="AO35" s="30">
        <f>IF('Org_6'!AO41="","",'Org_6'!AO41)</f>
        <v/>
      </c>
      <c r="AP35" s="30">
        <f>IF('Org_6'!AP41="","",'Org_6'!AP41)</f>
        <v/>
      </c>
      <c r="AQ35" s="30">
        <f>IF('Org_6'!AQ41="","",'Org_6'!AQ41)</f>
        <v/>
      </c>
      <c r="AR35" s="30">
        <f>IF('Org_6'!AR41="","",'Org_6'!AR41)</f>
        <v/>
      </c>
      <c r="AS35" s="30">
        <f>IF('Org_6'!AS41="","",'Org_6'!AS41)</f>
        <v/>
      </c>
      <c r="AT35" s="30">
        <f>IF('Org_6'!AT41="","",'Org_6'!AT41)</f>
        <v/>
      </c>
      <c r="AU35" s="30">
        <f>IF('Org_6'!AU41="","",'Org_6'!AU41)</f>
        <v/>
      </c>
      <c r="AV35" s="30">
        <f>IF('Org_6'!AV41="","",'Org_6'!AV41)</f>
        <v/>
      </c>
      <c r="AW35" s="30">
        <f>IF('Org_6'!AW41="","",'Org_6'!AW41)</f>
        <v/>
      </c>
      <c r="AX35" s="30">
        <f>IF('Org_6'!AX41="","",'Org_6'!AX41)</f>
        <v/>
      </c>
    </row>
    <row r="36">
      <c r="A36" s="8">
        <f>Setup!$B$10</f>
        <v/>
      </c>
      <c r="C36" s="30">
        <f>IF('Org_7'!C41="","",'Org_7'!C41)</f>
        <v/>
      </c>
      <c r="D36" s="30">
        <f>IF('Org_7'!D41="","",'Org_7'!D41)</f>
        <v/>
      </c>
      <c r="E36" s="30">
        <f>IF('Org_7'!E41="","",'Org_7'!E41)</f>
        <v/>
      </c>
      <c r="F36" s="30">
        <f>IF('Org_7'!F41="","",'Org_7'!F41)</f>
        <v/>
      </c>
      <c r="G36" s="30">
        <f>IF('Org_7'!G41="","",'Org_7'!G41)</f>
        <v/>
      </c>
      <c r="H36" s="30">
        <f>IF('Org_7'!H41="","",'Org_7'!H41)</f>
        <v/>
      </c>
      <c r="I36" s="30">
        <f>IF('Org_7'!I41="","",'Org_7'!I41)</f>
        <v/>
      </c>
      <c r="J36" s="30">
        <f>IF('Org_7'!J41="","",'Org_7'!J41)</f>
        <v/>
      </c>
      <c r="K36" s="30">
        <f>IF('Org_7'!K41="","",'Org_7'!K41)</f>
        <v/>
      </c>
      <c r="L36" s="30">
        <f>IF('Org_7'!L41="","",'Org_7'!L41)</f>
        <v/>
      </c>
      <c r="M36" s="30">
        <f>IF('Org_7'!M41="","",'Org_7'!M41)</f>
        <v/>
      </c>
      <c r="N36" s="30">
        <f>IF('Org_7'!N41="","",'Org_7'!N41)</f>
        <v/>
      </c>
      <c r="O36" s="30">
        <f>IF('Org_7'!O41="","",'Org_7'!O41)</f>
        <v/>
      </c>
      <c r="P36" s="30">
        <f>IF('Org_7'!P41="","",'Org_7'!P41)</f>
        <v/>
      </c>
      <c r="Q36" s="30">
        <f>IF('Org_7'!Q41="","",'Org_7'!Q41)</f>
        <v/>
      </c>
      <c r="R36" s="30">
        <f>IF('Org_7'!R41="","",'Org_7'!R41)</f>
        <v/>
      </c>
      <c r="S36" s="30">
        <f>IF('Org_7'!S41="","",'Org_7'!S41)</f>
        <v/>
      </c>
      <c r="T36" s="30">
        <f>IF('Org_7'!T41="","",'Org_7'!T41)</f>
        <v/>
      </c>
      <c r="U36" s="30">
        <f>IF('Org_7'!U41="","",'Org_7'!U41)</f>
        <v/>
      </c>
      <c r="V36" s="30">
        <f>IF('Org_7'!V41="","",'Org_7'!V41)</f>
        <v/>
      </c>
      <c r="W36" s="30">
        <f>IF('Org_7'!W41="","",'Org_7'!W41)</f>
        <v/>
      </c>
      <c r="X36" s="30">
        <f>IF('Org_7'!X41="","",'Org_7'!X41)</f>
        <v/>
      </c>
      <c r="Y36" s="30">
        <f>IF('Org_7'!Y41="","",'Org_7'!Y41)</f>
        <v/>
      </c>
      <c r="Z36" s="30">
        <f>IF('Org_7'!Z41="","",'Org_7'!Z41)</f>
        <v/>
      </c>
      <c r="AA36" s="30">
        <f>IF('Org_7'!AA41="","",'Org_7'!AA41)</f>
        <v/>
      </c>
      <c r="AB36" s="30">
        <f>IF('Org_7'!AB41="","",'Org_7'!AB41)</f>
        <v/>
      </c>
      <c r="AC36" s="30">
        <f>IF('Org_7'!AC41="","",'Org_7'!AC41)</f>
        <v/>
      </c>
      <c r="AD36" s="30">
        <f>IF('Org_7'!AD41="","",'Org_7'!AD41)</f>
        <v/>
      </c>
      <c r="AE36" s="30">
        <f>IF('Org_7'!AE41="","",'Org_7'!AE41)</f>
        <v/>
      </c>
      <c r="AF36" s="30">
        <f>IF('Org_7'!AF41="","",'Org_7'!AF41)</f>
        <v/>
      </c>
      <c r="AG36" s="30">
        <f>IF('Org_7'!AG41="","",'Org_7'!AG41)</f>
        <v/>
      </c>
      <c r="AH36" s="30">
        <f>IF('Org_7'!AH41="","",'Org_7'!AH41)</f>
        <v/>
      </c>
      <c r="AI36" s="30">
        <f>IF('Org_7'!AI41="","",'Org_7'!AI41)</f>
        <v/>
      </c>
      <c r="AJ36" s="30">
        <f>IF('Org_7'!AJ41="","",'Org_7'!AJ41)</f>
        <v/>
      </c>
      <c r="AK36" s="30">
        <f>IF('Org_7'!AK41="","",'Org_7'!AK41)</f>
        <v/>
      </c>
      <c r="AL36" s="30">
        <f>IF('Org_7'!AL41="","",'Org_7'!AL41)</f>
        <v/>
      </c>
      <c r="AM36" s="30">
        <f>IF('Org_7'!AM41="","",'Org_7'!AM41)</f>
        <v/>
      </c>
      <c r="AN36" s="30">
        <f>IF('Org_7'!AN41="","",'Org_7'!AN41)</f>
        <v/>
      </c>
      <c r="AO36" s="30">
        <f>IF('Org_7'!AO41="","",'Org_7'!AO41)</f>
        <v/>
      </c>
      <c r="AP36" s="30">
        <f>IF('Org_7'!AP41="","",'Org_7'!AP41)</f>
        <v/>
      </c>
      <c r="AQ36" s="30">
        <f>IF('Org_7'!AQ41="","",'Org_7'!AQ41)</f>
        <v/>
      </c>
      <c r="AR36" s="30">
        <f>IF('Org_7'!AR41="","",'Org_7'!AR41)</f>
        <v/>
      </c>
      <c r="AS36" s="30">
        <f>IF('Org_7'!AS41="","",'Org_7'!AS41)</f>
        <v/>
      </c>
      <c r="AT36" s="30">
        <f>IF('Org_7'!AT41="","",'Org_7'!AT41)</f>
        <v/>
      </c>
      <c r="AU36" s="30">
        <f>IF('Org_7'!AU41="","",'Org_7'!AU41)</f>
        <v/>
      </c>
      <c r="AV36" s="30">
        <f>IF('Org_7'!AV41="","",'Org_7'!AV41)</f>
        <v/>
      </c>
      <c r="AW36" s="30">
        <f>IF('Org_7'!AW41="","",'Org_7'!AW41)</f>
        <v/>
      </c>
      <c r="AX36" s="30">
        <f>IF('Org_7'!AX41="","",'Org_7'!AX41)</f>
        <v/>
      </c>
    </row>
    <row r="37">
      <c r="A37" s="8">
        <f>Setup!$B$11</f>
        <v/>
      </c>
      <c r="C37" s="30">
        <f>IF('Org_8'!C41="","",'Org_8'!C41)</f>
        <v/>
      </c>
      <c r="D37" s="30">
        <f>IF('Org_8'!D41="","",'Org_8'!D41)</f>
        <v/>
      </c>
      <c r="E37" s="30">
        <f>IF('Org_8'!E41="","",'Org_8'!E41)</f>
        <v/>
      </c>
      <c r="F37" s="30">
        <f>IF('Org_8'!F41="","",'Org_8'!F41)</f>
        <v/>
      </c>
      <c r="G37" s="30">
        <f>IF('Org_8'!G41="","",'Org_8'!G41)</f>
        <v/>
      </c>
      <c r="H37" s="30">
        <f>IF('Org_8'!H41="","",'Org_8'!H41)</f>
        <v/>
      </c>
      <c r="I37" s="30">
        <f>IF('Org_8'!I41="","",'Org_8'!I41)</f>
        <v/>
      </c>
      <c r="J37" s="30">
        <f>IF('Org_8'!J41="","",'Org_8'!J41)</f>
        <v/>
      </c>
      <c r="K37" s="30">
        <f>IF('Org_8'!K41="","",'Org_8'!K41)</f>
        <v/>
      </c>
      <c r="L37" s="30">
        <f>IF('Org_8'!L41="","",'Org_8'!L41)</f>
        <v/>
      </c>
      <c r="M37" s="30">
        <f>IF('Org_8'!M41="","",'Org_8'!M41)</f>
        <v/>
      </c>
      <c r="N37" s="30">
        <f>IF('Org_8'!N41="","",'Org_8'!N41)</f>
        <v/>
      </c>
      <c r="O37" s="30">
        <f>IF('Org_8'!O41="","",'Org_8'!O41)</f>
        <v/>
      </c>
      <c r="P37" s="30">
        <f>IF('Org_8'!P41="","",'Org_8'!P41)</f>
        <v/>
      </c>
      <c r="Q37" s="30">
        <f>IF('Org_8'!Q41="","",'Org_8'!Q41)</f>
        <v/>
      </c>
      <c r="R37" s="30">
        <f>IF('Org_8'!R41="","",'Org_8'!R41)</f>
        <v/>
      </c>
      <c r="S37" s="30">
        <f>IF('Org_8'!S41="","",'Org_8'!S41)</f>
        <v/>
      </c>
      <c r="T37" s="30">
        <f>IF('Org_8'!T41="","",'Org_8'!T41)</f>
        <v/>
      </c>
      <c r="U37" s="30">
        <f>IF('Org_8'!U41="","",'Org_8'!U41)</f>
        <v/>
      </c>
      <c r="V37" s="30">
        <f>IF('Org_8'!V41="","",'Org_8'!V41)</f>
        <v/>
      </c>
      <c r="W37" s="30">
        <f>IF('Org_8'!W41="","",'Org_8'!W41)</f>
        <v/>
      </c>
      <c r="X37" s="30">
        <f>IF('Org_8'!X41="","",'Org_8'!X41)</f>
        <v/>
      </c>
      <c r="Y37" s="30">
        <f>IF('Org_8'!Y41="","",'Org_8'!Y41)</f>
        <v/>
      </c>
      <c r="Z37" s="30">
        <f>IF('Org_8'!Z41="","",'Org_8'!Z41)</f>
        <v/>
      </c>
      <c r="AA37" s="30">
        <f>IF('Org_8'!AA41="","",'Org_8'!AA41)</f>
        <v/>
      </c>
      <c r="AB37" s="30">
        <f>IF('Org_8'!AB41="","",'Org_8'!AB41)</f>
        <v/>
      </c>
      <c r="AC37" s="30">
        <f>IF('Org_8'!AC41="","",'Org_8'!AC41)</f>
        <v/>
      </c>
      <c r="AD37" s="30">
        <f>IF('Org_8'!AD41="","",'Org_8'!AD41)</f>
        <v/>
      </c>
      <c r="AE37" s="30">
        <f>IF('Org_8'!AE41="","",'Org_8'!AE41)</f>
        <v/>
      </c>
      <c r="AF37" s="30">
        <f>IF('Org_8'!AF41="","",'Org_8'!AF41)</f>
        <v/>
      </c>
      <c r="AG37" s="30">
        <f>IF('Org_8'!AG41="","",'Org_8'!AG41)</f>
        <v/>
      </c>
      <c r="AH37" s="30">
        <f>IF('Org_8'!AH41="","",'Org_8'!AH41)</f>
        <v/>
      </c>
      <c r="AI37" s="30">
        <f>IF('Org_8'!AI41="","",'Org_8'!AI41)</f>
        <v/>
      </c>
      <c r="AJ37" s="30">
        <f>IF('Org_8'!AJ41="","",'Org_8'!AJ41)</f>
        <v/>
      </c>
      <c r="AK37" s="30">
        <f>IF('Org_8'!AK41="","",'Org_8'!AK41)</f>
        <v/>
      </c>
      <c r="AL37" s="30">
        <f>IF('Org_8'!AL41="","",'Org_8'!AL41)</f>
        <v/>
      </c>
      <c r="AM37" s="30">
        <f>IF('Org_8'!AM41="","",'Org_8'!AM41)</f>
        <v/>
      </c>
      <c r="AN37" s="30">
        <f>IF('Org_8'!AN41="","",'Org_8'!AN41)</f>
        <v/>
      </c>
      <c r="AO37" s="30">
        <f>IF('Org_8'!AO41="","",'Org_8'!AO41)</f>
        <v/>
      </c>
      <c r="AP37" s="30">
        <f>IF('Org_8'!AP41="","",'Org_8'!AP41)</f>
        <v/>
      </c>
      <c r="AQ37" s="30">
        <f>IF('Org_8'!AQ41="","",'Org_8'!AQ41)</f>
        <v/>
      </c>
      <c r="AR37" s="30">
        <f>IF('Org_8'!AR41="","",'Org_8'!AR41)</f>
        <v/>
      </c>
      <c r="AS37" s="30">
        <f>IF('Org_8'!AS41="","",'Org_8'!AS41)</f>
        <v/>
      </c>
      <c r="AT37" s="30">
        <f>IF('Org_8'!AT41="","",'Org_8'!AT41)</f>
        <v/>
      </c>
      <c r="AU37" s="30">
        <f>IF('Org_8'!AU41="","",'Org_8'!AU41)</f>
        <v/>
      </c>
      <c r="AV37" s="30">
        <f>IF('Org_8'!AV41="","",'Org_8'!AV41)</f>
        <v/>
      </c>
      <c r="AW37" s="30">
        <f>IF('Org_8'!AW41="","",'Org_8'!AW41)</f>
        <v/>
      </c>
      <c r="AX37" s="30">
        <f>IF('Org_8'!AX41="","",'Org_8'!AX41)</f>
        <v/>
      </c>
    </row>
  </sheetData>
  <conditionalFormatting sqref="C30:AX37">
    <cfRule type="cellIs" priority="1" operator="equal" dxfId="0">
      <formula>"Green"</formula>
    </cfRule>
    <cfRule type="cellIs" priority="2" operator="equal" dxfId="1">
      <formula>"Amber"</formula>
    </cfRule>
    <cfRule type="cellIs" priority="3" operator="equal" dxfId="2">
      <formula>"Red"</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30" customWidth="1" min="1" max="1"/>
  </cols>
  <sheetData>
    <row r="1" ht="20" customHeight="1">
      <c r="A1" s="1" t="inlineStr">
        <is>
          <t>Guiding Principles — condensed (full draft: Guiding_Principles_DRAFT.md)</t>
        </is>
      </c>
    </row>
    <row r="2" ht="20" customHeight="1">
      <c r="A2" s="31" t="inlineStr"/>
    </row>
    <row r="3" ht="45" customHeight="1">
      <c r="A3" s="31" t="inlineStr">
        <is>
          <t>1. The baseline is the committed monthly target loaded to your forecast. Variances are vs. that baseline — never vs. prior year or re-forecast. Baseline moves only via approved change request.</t>
        </is>
      </c>
    </row>
    <row r="4" ht="45" customHeight="1">
      <c r="A4" s="31" t="inlineStr">
        <is>
          <t>2. A reduction COUNTS only if it is (a) labor cost in a committed category — professional services, managed/outsourced labor, offshore or onshore contractors, in-scope employees; (b) causally tied to the India transition; (c) realized and visible in the GL; and (d) run-rate in nature.</t>
        </is>
      </c>
    </row>
    <row r="5" ht="45" customHeight="1">
      <c r="A5" s="31" t="inlineStr">
        <is>
          <t>3. What does NOT count: software license or any non-labor favorability; one-time credits or rebates; rate renegotiations unrelated to transitioned volume; timing deferrals; unrelated vacancy savings; anything already claimed by another initiative (no double counting).</t>
        </is>
      </c>
    </row>
    <row r="6" ht="45" customHeight="1">
      <c r="A6" s="31" t="inlineStr">
        <is>
          <t>4. NO SUBSTITUTION: a labor-reduction shortfall may not be offset with unrelated favorability. Example: on-track India hiring + $500K prof services miss + $500K software favorability is reported as a $500K program miss, with commentary and recovery plan.</t>
        </is>
      </c>
    </row>
    <row r="7" ht="45" customHeight="1">
      <c r="A7" s="31" t="inlineStr">
        <is>
          <t>5. Report NET: gross reductions minus India loaded cost adds. One-time transition costs go on their own row and are never netted into reductions or run-rate.</t>
        </is>
      </c>
    </row>
    <row r="8" ht="45" customHeight="1">
      <c r="A8" s="31" t="inlineStr">
        <is>
          <t>6. Recognize savings in the month the run-rate reduction first hits the GL — not at contract signature or vendor notification. Partial months pro rata.</t>
        </is>
      </c>
    </row>
    <row r="9" ht="45" customHeight="1">
      <c r="A9" s="31" t="inlineStr">
        <is>
          <t>7. No leakage: a reduction is not real if equivalent spend reappears in another cost center, vendor, or expense line. You attest to this monthly.</t>
        </is>
      </c>
    </row>
    <row r="10" ht="45" customHeight="1">
      <c r="A10" s="31" t="inlineStr">
        <is>
          <t>8. Attestation &amp; evidence: the org finance partner attests each submission and can identify the cost center and expense line for material reductions on request. Quarterly sample testing and true-up apply.</t>
        </is>
      </c>
    </row>
    <row r="11" ht="45" customHeight="1">
      <c r="A11" s="31" t="inlineStr">
        <is>
          <t>9. When in doubt, ask central program finance BEFORE reporting the number. Interpretation rulings are appended to the full Guiding Principles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2026-07-05T04:18:58Z</dcterms:created>
  <dcterms:modified xsi:type="dcterms:W3CDTF">2026-07-05T04:18:58Z</dcterms:modified>
</cp:coreProperties>
</file>